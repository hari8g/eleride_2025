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455" activeTab="1"/>
  </bookViews>
  <sheets>
    <sheet name="Sheet3" sheetId="3" r:id="rId1"/>
    <sheet name="Sheet1" sheetId="1" r:id="rId2"/>
    <sheet name="Sheet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<sst xmlns="http://schemas.openxmlformats.org/spreadsheetml/2006/main" count="402" uniqueCount="151">
  <si>
    <t>year</t>
  </si>
  <si>
    <t>month</t>
  </si>
  <si>
    <t>week</t>
  </si>
  <si>
    <t>cee_id</t>
  </si>
  <si>
    <t>cee_name</t>
  </si>
  <si>
    <t>cee_employment_category</t>
  </si>
  <si>
    <t>cee_category</t>
  </si>
  <si>
    <t>city</t>
  </si>
  <si>
    <t>store</t>
  </si>
  <si>
    <t>store_type</t>
  </si>
  <si>
    <t>MG Store Name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</si>
  <si>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</si>
  <si>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</si>
  <si>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</si>
  <si>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</si>
  <si>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</si>
  <si>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</si>
  <si>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</si>
  <si>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</si>
  <si>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</si>
  <si>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</si>
  <si>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</si>
  <si>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</si>
  <si>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</si>
  <si>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</si>
  <si>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</si>
  <si>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</si>
  <si>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</si>
  <si>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</si>
  <si>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</si>
  <si>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</si>
  <si>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daily_order_payout</t>
  </si>
  <si>
    <t>weekly_order_payout</t>
  </si>
  <si>
    <t>monthly_order_payout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</si>
  <si>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</si>
  <si>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</si>
  <si>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</si>
  <si>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</si>
  <si>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</si>
  <si>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</si>
  <si>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</si>
  <si>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</si>
  <si>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</si>
  <si>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</si>
  <si>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</si>
  <si>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</si>
  <si>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base_pay</t>
  </si>
  <si>
    <t>incentive_total</t>
  </si>
  <si>
    <t>total_without_arrears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</si>
  <si>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</si>
  <si>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</si>
  <si>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</si>
  <si>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</si>
  <si>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</si>
  <si>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</si>
  <si>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</si>
  <si>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bank_account_name</t>
  </si>
  <si>
    <t>bank_account_number</t>
  </si>
  <si>
    <t>ifsc</t>
  </si>
  <si>
    <t>bank_name</t>
  </si>
  <si>
    <t>date_of_joining</t>
  </si>
  <si>
    <t>modified_date</t>
  </si>
  <si>
    <t>MUKESH BRAMHARAJELERIDE</t>
  </si>
  <si>
    <t>TPL CEE</t>
  </si>
  <si>
    <t>EV</t>
  </si>
  <si>
    <t>PUNE</t>
  </si>
  <si>
    <t>BSPUN-HINJEWADI-GS1</t>
  </si>
  <si>
    <t>INTEGRATED</t>
  </si>
  <si>
    <t>Service Fees</t>
  </si>
  <si>
    <t>ELERIDE MOBILITY SOLUTIONS PVT LTD</t>
  </si>
  <si>
    <t>BIKE</t>
  </si>
  <si>
    <t>INTEGRATED-IBBN-RC-008583-15</t>
  </si>
  <si>
    <t>7 DAYS</t>
  </si>
  <si>
    <t/>
  </si>
  <si>
    <t>PRANAVMAHESH JADHAVJADHAV ELERIDE</t>
  </si>
  <si>
    <t>BSPUN-JAGDISHNAGAR-BS2</t>
  </si>
  <si>
    <t>INTEGRATED-IBBN-RC-009658-9</t>
  </si>
  <si>
    <t>EV CHARGING DEDUCTION</t>
  </si>
  <si>
    <t>TAPASH KUMAR SAHAELERIDE</t>
  </si>
  <si>
    <t>SHUBHAM NANDU SATHEELERD</t>
  </si>
  <si>
    <t>NEV</t>
  </si>
  <si>
    <t>T1EX-PUN-BAVDHAN</t>
  </si>
  <si>
    <t>INTEGRATED-IBBN-RC-009637-14</t>
  </si>
  <si>
    <t>SACHIN NAYASE7350987782</t>
  </si>
  <si>
    <t>T1EX-PUN-WAGHOLI</t>
  </si>
  <si>
    <t>INTEGRATED-IBBN-RC-009587-11</t>
  </si>
  <si>
    <t>ELERIDESUNILDATTATRAY0RAUT</t>
  </si>
  <si>
    <t>MANJURULLAHKHAN ELERIDE</t>
  </si>
  <si>
    <t>INTEGRATED-IBBN-RC-008582-16</t>
  </si>
  <si>
    <t>MANJUR ULLAH KHAN</t>
  </si>
  <si>
    <t>924010043095487</t>
  </si>
  <si>
    <t>UTIB0000168</t>
  </si>
  <si>
    <t>AXIS BANK</t>
  </si>
  <si>
    <t>GAURAOJAISWAL</t>
  </si>
  <si>
    <t>T1EX-PUN-PIMPRI</t>
  </si>
  <si>
    <t>INTEGRATED-IBBN-RC-013235-4</t>
  </si>
  <si>
    <t>MR GAURAO SHANKARLAL JAISWAL</t>
  </si>
  <si>
    <t>25034936342</t>
  </si>
  <si>
    <t>MAHB0000059</t>
  </si>
  <si>
    <t>BANK OF MAHARASHTRA</t>
  </si>
  <si>
    <t>SAMADHANJUGADA ELERIDE</t>
  </si>
  <si>
    <t>DEEPAKKUSHWAHA</t>
  </si>
  <si>
    <t>LSV</t>
  </si>
  <si>
    <t>DEEPAK KUSHWAHA</t>
  </si>
  <si>
    <t>6345703187</t>
  </si>
  <si>
    <t>KKBK0005136</t>
  </si>
  <si>
    <t>KOTAK MAHINDRA BANK</t>
  </si>
  <si>
    <t>IMRANSHAIKH</t>
  </si>
  <si>
    <t>BSPUN-WAKAD-BS1</t>
  </si>
  <si>
    <t>INTEGRATED-IBBN-RC-009932-12</t>
  </si>
  <si>
    <t>IBND DEDUCTION, IBND DEDUCTION</t>
  </si>
  <si>
    <t>IMRAN AJEEJ SHAIKH</t>
  </si>
  <si>
    <t>7798145335</t>
  </si>
  <si>
    <t>AIRP0000001</t>
  </si>
  <si>
    <t>AIRTEL PAYMENTS BANK</t>
  </si>
  <si>
    <t>ELERIDEFIRSTDHAMMPAL AVHAD</t>
  </si>
  <si>
    <t>LATIF SHAIKHELRD BREAK</t>
  </si>
  <si>
    <t>T1EX-PUN-BANER</t>
  </si>
  <si>
    <t>INTEGRATED-IBBN-RC-011702-4</t>
  </si>
  <si>
    <t>ELERIDEAMAN JADHAV</t>
  </si>
  <si>
    <t>INTEGRATED-IBBN-RC-009659-8</t>
  </si>
  <si>
    <t>IBND DEDUCTION</t>
  </si>
  <si>
    <t>ADESH KUMAR RAWATELERIDE</t>
  </si>
  <si>
    <t>NIGHT SHIFT MG</t>
  </si>
  <si>
    <t>ORDER CASH NOT DEPOSITED AT HUB</t>
  </si>
  <si>
    <t>VEDANTPANCHAL</t>
  </si>
  <si>
    <t>PANCHAL VEDANT RAMRAO</t>
  </si>
  <si>
    <t>924010043145320</t>
  </si>
  <si>
    <t>UTIB0001576</t>
  </si>
  <si>
    <t>SANTOSH NAYASE7517557492</t>
  </si>
  <si>
    <t>INTEGRATED-IBBN-RC-009586-10</t>
  </si>
  <si>
    <t>SANTOSH AMBADAS NAYSE</t>
  </si>
  <si>
    <t>4050174360</t>
  </si>
  <si>
    <t>KKBK0001793</t>
  </si>
  <si>
    <t>ROHAN SUDHKAR CHAVANELRD  BREAK</t>
  </si>
  <si>
    <t>NIKHIL RAJU GUPTELERIDE BREAK</t>
  </si>
  <si>
    <t>BSPUN-KSQARE-BANER-BS1</t>
  </si>
  <si>
    <t>INTEGRATED-IBBN-RC-009931-11</t>
  </si>
  <si>
    <t>INCORRECT ORDER ACKNOWLEDGEMENT PROCESS DEVIATION, INCORRECT ORDER ACKNOWLEDGEMENT PROCESS DEVIATION, IBND DEDUCTION, WRONG CALCULATION AT IMPLEMENTATION TIME</t>
  </si>
  <si>
    <t>DATTA JADHAVELRD BREAK</t>
  </si>
  <si>
    <t>SAMIR PATELELERD</t>
  </si>
  <si>
    <t>SURENDRA MOHITEELERIDE</t>
  </si>
  <si>
    <t>T1EX-PUN-WADGAONSHERI</t>
  </si>
  <si>
    <t>INTEGRATED-IBBN-RC-009004-18</t>
  </si>
  <si>
    <t>EXCEPTION - PENDING PAYOUT</t>
  </si>
  <si>
    <t>Row Labels</t>
  </si>
  <si>
    <t>Grand Total</t>
  </si>
  <si>
    <t>Sum of delivered_orders</t>
  </si>
  <si>
    <t>Sum of total_with_arrears_and_deductions</t>
  </si>
  <si>
    <t>Sum of management_fee</t>
  </si>
  <si>
    <t>Sum of total_with_management_fee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</si>
</sst>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"/>
    <numFmt numFmtId="165" formatCode="###0.##"/>
    <numFmt numFmtId="166" formatCode="mmm\ d\,\ yyyy\,\ hh:mm"/>
    <numFmt numFmtId="167" formatCode="mmm\ d\,\ yyyy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796.462655439813" createdVersion="5" refreshedVersion="5" minRefreshableVersion="3" recordCount="22">
  <cacheSource type="worksheet">
    <worksheetSource ref="A1:BJ23" sheet="Sheet1"/>
  </cacheSource>
  <cacheFields count="62">
    <cacheField name="year" numFmtId="164">
      <sharedItems containsSemiMixedTypes="0" containsString="0" containsNumber="1" containsInteger="1" minValue="2025" maxValue="2025"/>
    </cacheField>
    <cacheField name="month" numFmtId="164">
      <sharedItems containsSemiMixedTypes="0" containsString="0" containsNumber="1" containsInteger="1" minValue="5" maxValue="5"/>
    </cacheField>
    <cacheField name="week" numFmtId="164">
      <sharedItems containsSemiMixedTypes="0" containsString="0" containsNumber="1" containsInteger="1" minValue="2" maxValue="2"/>
    </cacheField>
    <cacheField name="cee_id" numFmtId="164">
      <sharedItems containsSemiMixedTypes="0" containsString="0" containsNumber="1" containsInteger="1" minValue="735193" maxValue="787959"/>
    </cacheField>
    <cacheField name="cee_name" numFmtId="0">
      <sharedItems/>
    </cacheField>
    <cacheField name="cee_employment_category" numFmtId="0">
      <sharedItems/>
    </cacheField>
    <cacheField name="cee_category" numFmtId="0">
      <sharedItems/>
    </cacheField>
    <cacheField name="city" numFmtId="0">
      <sharedItems/>
    </cacheField>
    <cacheField name="store" numFmtId="0">
      <sharedItems count="9">
        <s v="BSPUN-HINJEWADI-GS1"/>
        <s v="BSPUN-JAGDISHNAGAR-BS2"/>
        <s v="T1EX-PUN-BAVDHAN"/>
        <s v="T1EX-PUN-WAGHOLI"/>
        <s v="T1EX-PUN-PIMPRI"/>
        <s v="BSPUN-WAKAD-BS1"/>
        <s v="T1EX-PUN-BANER"/>
        <s v="BSPUN-KSQARE-BANER-BS1"/>
        <s v="T1EX-PUN-WADGAONSHERI"/>
      </sharedItems>
    </cacheField>
    <cacheField name="store_type" numFmtId="0">
      <sharedItems/>
    </cacheField>
    <cacheField name="MG Store Name" numFmtId="0">
      <sharedItems/>
    </cacheField>
    <cacheField name="lmd_provider" numFmtId="0">
      <sharedItems/>
    </cacheField>
    <cacheField name="delivery_mode" numFmtId="0">
      <sharedItems/>
    </cacheField>
    <cacheField name="rate_card_id" numFmtId="0">
      <sharedItems/>
    </cacheField>
    <cacheField name="settlement_frequency" numFmtId="0">
      <sharedItems/>
    </cacheField>
    <cacheField name="delivered_orders" numFmtId="164">
      <sharedItems containsSemiMixedTypes="0" containsString="0" containsNumber="1" containsInteger="1" minValue="12" maxValue="215"/>
    </cacheField>
    <cacheField name="cancelled_orders" numFmtId="164">
      <sharedItems containsSemiMixedTypes="0" containsString="0" containsNumber="1" containsInteger="1" minValue="0" maxValue="7"/>
    </cacheField>
    <cacheField name="pickup_orders" numFmtId="164">
      <sharedItems containsSemiMixedTypes="0" containsString="0" containsNumber="1" containsInteger="1" minValue="0" maxValue="0"/>
    </cacheField>
    <cacheField name="weekday_orders" numFmtId="164">
      <sharedItems containsSemiMixedTypes="0" containsString="0" containsNumber="1" containsInteger="1" minValue="0" maxValue="152"/>
    </cacheField>
    <cacheField name="weekend_orders" numFmtId="164">
      <sharedItems containsSemiMixedTypes="0" containsString="0" containsNumber="1" containsInteger="1" minValue="0" maxValue="81"/>
    </cacheField>
    <cacheField name="incentivised_orders" numFmtId="164">
      <sharedItems containsSemiMixedTypes="0" containsString="0" containsNumber="1" containsInteger="1" minValue="12" maxValue="215"/>
    </cacheField>
    <cacheField name="attendance" numFmtId="164">
      <sharedItems containsSemiMixedTypes="0" containsString="0" containsNumber="1" containsInteger="1" minValue="1" maxValue="7"/>
    </cacheField>
    <cacheField name="month_attendance" numFmtId="164">
      <sharedItems containsSemiMixedTypes="0" containsString="0" containsNumber="1" containsInteger="1" minValue="0" maxValue="0"/>
    </cacheField>
    <cacheField name="distance" numFmtId="165">
      <sharedItems containsSemiMixedTypes="0" containsString="0" containsNumber="1" minValue="50.270000457763672" maxValue="1010.6599731445312"/>
    </cacheField>
    <cacheField name="cancelled_order_payout" numFmtId="164">
      <sharedItems containsSemiMixedTypes="0" containsString="0" containsNumber="1" containsInteger="1" minValue="0" maxValue="210"/>
    </cacheField>
    <cacheField name="pickup_order_payout" numFmtId="164">
      <sharedItems containsSemiMixedTypes="0" containsString="0" containsNumber="1" containsInteger="1" minValue="0" maxValue="0"/>
    </cacheField>
    <cacheField name="order_base_payout" numFmtId="164">
      <sharedItems containsSemiMixedTypes="0" containsString="0" containsNumber="1" containsInteger="1" minValue="324" maxValue="6660"/>
    </cacheField>
    <cacheField name="surge_payout" numFmtId="164">
      <sharedItems containsSemiMixedTypes="0" containsString="0" containsNumber="1" containsInteger="1" minValue="0" maxValue="0"/>
    </cacheField>
    <cacheField name="peak_hour_payout" numFmtId="164">
      <sharedItems containsSemiMixedTypes="0" containsString="0" containsNumber="1" containsInteger="1" minValue="0" maxValue="2240"/>
    </cacheField>
    <cacheField name="peak_slot_payout" numFmtId="164">
      <sharedItems containsSemiMixedTypes="0" containsString="0" containsNumber="1" containsInteger="1" minValue="0" maxValue="0"/>
    </cacheField>
    <cacheField name="order_distance_payout" numFmtId="0">
      <sharedItems containsSemiMixedTypes="0" containsString="0" containsNumber="1" minValue="0" maxValue="609.02001953125"/>
    </cacheField>
    <cacheField name="daily_order_payout" numFmtId="164">
      <sharedItems containsSemiMixedTypes="0" containsString="0" containsNumber="1" containsInteger="1" minValue="0" maxValue="3578"/>
    </cacheField>
    <cacheField name="weekly_order_payout" numFmtId="164">
      <sharedItems containsSemiMixedTypes="0" containsString="0" containsNumber="1" containsInteger="1" minValue="0" maxValue="0"/>
    </cacheField>
    <cacheField name="monthly_order_payout" numFmtId="164">
      <sharedItems containsSemiMixedTypes="0" containsString="0" containsNumber="1" containsInteger="1" minValue="0" maxValue="0"/>
    </cacheField>
    <cacheField name="weight_payout" numFmtId="164">
      <sharedItems containsSemiMixedTypes="0" containsString="0" containsNumber="1" containsInteger="1" minValue="0" maxValue="60"/>
    </cacheField>
    <cacheField name="day_payout" numFmtId="164">
      <sharedItems containsSemiMixedTypes="0" containsString="0" containsNumber="1" containsInteger="1" minValue="0" maxValue="249"/>
    </cacheField>
    <cacheField name="joining_bonus" numFmtId="164">
      <sharedItems containsSemiMixedTypes="0" containsString="0" containsNumber="1" containsInteger="1" minValue="0" maxValue="0"/>
    </cacheField>
    <cacheField name="weekly_attendance_payout" numFmtId="164">
      <sharedItems containsSemiMixedTypes="0" containsString="0" containsNumber="1" containsInteger="1" minValue="0" maxValue="800"/>
    </cacheField>
    <cacheField name="monthly_attendance_payout" numFmtId="164">
      <sharedItems containsSemiMixedTypes="0" containsString="0" containsNumber="1" containsInteger="1" minValue="0" maxValue="0"/>
    </cacheField>
    <cacheField name="service_time" numFmtId="0">
      <sharedItems containsSemiMixedTypes="0" containsString="0" containsNumber="1" minValue="5.058499813079834" maxValue="63"/>
    </cacheField>
    <cacheField name="minimum_guarantee" numFmtId="164">
      <sharedItems containsSemiMixedTypes="0" containsString="0" containsNumber="1" containsInteger="1" minValue="0" maxValue="2800"/>
    </cacheField>
    <cacheField name="mg_eligible_days" numFmtId="164">
      <sharedItems containsSemiMixedTypes="0" containsString="0" containsNumber="1" containsInteger="1" minValue="0" maxValue="6"/>
    </cacheField>
    <cacheField name="arrears_amount" numFmtId="164">
      <sharedItems containsSemiMixedTypes="0" containsString="0" containsNumber="1" containsInteger="1" minValue="0" maxValue="600"/>
    </cacheField>
    <cacheField name="arrears_reason" numFmtId="0">
      <sharedItems/>
    </cacheField>
    <cacheField name="deductions_amount" numFmtId="164">
      <sharedItems containsSemiMixedTypes="0" containsString="0" containsNumber="1" containsInteger="1" minValue="0" maxValue="1110"/>
    </cacheField>
    <cacheField name="deductions_reason" numFmtId="0">
      <sharedItems/>
    </cacheField>
    <cacheField name="base_pay" numFmtId="0">
      <sharedItems containsSemiMixedTypes="0" containsString="0" containsNumber="1" minValue="420" maxValue="13027.16015625"/>
    </cacheField>
    <cacheField name="incentive_total" numFmtId="0">
      <sharedItems containsSemiMixedTypes="0" containsString="0" containsNumber="1" minValue="0" maxValue="6937.16015625"/>
    </cacheField>
    <cacheField name="total_without_arrears" numFmtId="0">
      <sharedItems containsSemiMixedTypes="0" containsString="0" containsNumber="1" minValue="420" maxValue="15827.16015625"/>
    </cacheField>
    <cacheField name="total_with_arrears" numFmtId="0">
      <sharedItems containsSemiMixedTypes="0" containsString="0" containsNumber="1" minValue="420" maxValue="15827.16015625"/>
    </cacheField>
    <cacheField name="total_with_arrears_and_deductions" numFmtId="0">
      <sharedItems containsSemiMixedTypes="0" containsString="0" containsNumber="1" minValue="420" maxValue="14717.16015625"/>
    </cacheField>
    <cacheField name="management_fee" numFmtId="165">
      <sharedItems containsSemiMixedTypes="0" containsString="0" containsNumber="1" minValue="25.92" maxValue="532.79999999999995"/>
    </cacheField>
    <cacheField name="total_with_management_fee" numFmtId="165">
      <sharedItems containsSemiMixedTypes="0" containsString="0" containsNumber="1" minValue="445.92" maxValue="15204.360156250001"/>
    </cacheField>
    <cacheField name="tds" numFmtId="164">
      <sharedItems containsSemiMixedTypes="0" containsString="0" containsNumber="1" containsInteger="1" minValue="0" maxValue="0"/>
    </cacheField>
    <cacheField name="gst" numFmtId="165">
      <sharedItems containsSemiMixedTypes="0" containsString="0" containsNumber="1" minValue="80.265600000000006" maxValue="2736.7848281249999"/>
    </cacheField>
    <cacheField name="final_with_gst" numFmtId="165">
      <sharedItems containsSemiMixedTypes="0" containsString="0" containsNumber="1" minValue="526.18560000000002" maxValue="17941.144984375002"/>
    </cacheField>
    <cacheField name="bank_account_name" numFmtId="0">
      <sharedItems containsBlank="1"/>
    </cacheField>
    <cacheField name="bank_account_number" numFmtId="0">
      <sharedItems containsBlank="1"/>
    </cacheField>
    <cacheField name="ifsc" numFmtId="0">
      <sharedItems containsBlank="1"/>
    </cacheField>
    <cacheField name="bank_name" numFmtId="0">
      <sharedItems containsBlank="1"/>
    </cacheField>
    <cacheField name="date_of_joining" numFmtId="0">
      <sharedItems containsNonDate="0" containsDate="1" containsString="0" containsBlank="1" minDate="2024-12-19T00:00:00" maxDate="2025-05-13T00:00:00"/>
    </cacheField>
    <cacheField name="modified_date" numFmtId="166">
      <sharedItems containsSemiMixedTypes="0" containsNonDate="0" containsDate="1" containsString="0" minDate="2025-05-16T03:08:27" maxDate="2025-05-16T03:08: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n v="2025"/>
    <n v="5"/>
    <n v="2"/>
    <n v="755539"/>
    <s v="MUKESH BRAMHARAJELERIDE"/>
    <s v="TPL CEE"/>
    <s v="EV"/>
    <s v="PUNE"/>
    <x v="0"/>
    <s v="INTEGRATED"/>
    <s v="Service Fees"/>
    <s v="ELERIDE MOBILITY SOLUTIONS PVT LTD"/>
    <s v="BIKE"/>
    <s v="INTEGRATED-IBBN-RC-008583-15"/>
    <s v="7 DAYS"/>
    <n v="73"/>
    <n v="0"/>
    <n v="0"/>
    <n v="53"/>
    <n v="20"/>
    <n v="73"/>
    <n v="5"/>
    <n v="0"/>
    <n v="346.29998779296875"/>
    <n v="0"/>
    <n v="0"/>
    <n v="1971"/>
    <n v="0"/>
    <n v="0"/>
    <n v="0"/>
    <n v="0"/>
    <n v="874"/>
    <n v="0"/>
    <n v="0"/>
    <n v="0"/>
    <n v="60"/>
    <n v="0"/>
    <n v="0"/>
    <n v="0"/>
    <n v="30.679244995117188"/>
    <n v="0"/>
    <n v="0"/>
    <n v="0"/>
    <s v=""/>
    <n v="0"/>
    <s v=""/>
    <n v="2905"/>
    <n v="934"/>
    <n v="2905"/>
    <n v="2905"/>
    <n v="2905"/>
    <n v="157.68"/>
    <n v="3062.68"/>
    <n v="0"/>
    <n v="551.28239999999994"/>
    <n v="3613.9623999999999"/>
    <m/>
    <m/>
    <m/>
    <m/>
    <m/>
    <d v="2025-05-16T03:08:27"/>
  </r>
  <r>
    <n v="2025"/>
    <n v="5"/>
    <n v="2"/>
    <n v="739946"/>
    <s v="PRANAVMAHESH JADHAVJADHAV ELERIDE"/>
    <s v="TPL CEE"/>
    <s v="EV"/>
    <s v="PUNE"/>
    <x v="1"/>
    <s v="INTEGRATED"/>
    <s v="Service Fees"/>
    <s v="ELERIDE MOBILITY SOLUTIONS PVT LTD"/>
    <s v="BIKE"/>
    <s v="INTEGRATED-IBBN-RC-009658-9"/>
    <s v="7 DAYS"/>
    <n v="41"/>
    <n v="1"/>
    <n v="0"/>
    <n v="40"/>
    <n v="1"/>
    <n v="41"/>
    <n v="5"/>
    <n v="0"/>
    <n v="197.47999572753906"/>
    <n v="27"/>
    <n v="0"/>
    <n v="1134"/>
    <n v="0"/>
    <n v="75"/>
    <n v="0"/>
    <n v="0"/>
    <n v="294"/>
    <n v="0"/>
    <n v="0"/>
    <n v="0"/>
    <n v="3"/>
    <n v="0"/>
    <n v="0"/>
    <n v="0"/>
    <n v="20.478076934814453"/>
    <n v="0"/>
    <n v="0"/>
    <n v="0"/>
    <s v=""/>
    <n v="80"/>
    <s v="EV CHARGING DEDUCTION"/>
    <n v="1506"/>
    <n v="372"/>
    <n v="1506"/>
    <n v="1506"/>
    <n v="1426"/>
    <n v="90.72"/>
    <n v="1516.72"/>
    <n v="0"/>
    <n v="273.00959999999998"/>
    <n v="1789.7296000000001"/>
    <m/>
    <m/>
    <m/>
    <m/>
    <m/>
    <d v="2025-05-16T03:08:27"/>
  </r>
  <r>
    <n v="2025"/>
    <n v="5"/>
    <n v="2"/>
    <n v="753406"/>
    <s v="TAPASH KUMAR SAHAELERIDE"/>
    <s v="TPL CEE"/>
    <s v="EV"/>
    <s v="PUNE"/>
    <x v="0"/>
    <s v="INTEGRATED"/>
    <s v="Service Fees"/>
    <s v="ELERIDE MOBILITY SOLUTIONS PVT LTD"/>
    <s v="BIKE"/>
    <s v="INTEGRATED-IBBN-RC-008583-15"/>
    <s v="7 DAYS"/>
    <n v="70"/>
    <n v="1"/>
    <n v="0"/>
    <n v="55"/>
    <n v="15"/>
    <n v="70"/>
    <n v="7"/>
    <n v="0"/>
    <n v="311.489990234375"/>
    <n v="27"/>
    <n v="0"/>
    <n v="1917"/>
    <n v="0"/>
    <n v="0"/>
    <n v="0"/>
    <n v="0"/>
    <n v="348"/>
    <n v="0"/>
    <n v="0"/>
    <n v="0"/>
    <n v="45"/>
    <n v="0"/>
    <n v="0"/>
    <n v="0"/>
    <n v="30.468276977539062"/>
    <n v="0"/>
    <n v="0"/>
    <n v="0"/>
    <s v=""/>
    <n v="0"/>
    <s v=""/>
    <n v="2310"/>
    <n v="393"/>
    <n v="2310"/>
    <n v="2310"/>
    <n v="2310"/>
    <n v="153.36000000000001"/>
    <n v="2463.36"/>
    <n v="0"/>
    <n v="443.40480000000002"/>
    <n v="2906.7647999999999"/>
    <m/>
    <m/>
    <m/>
    <m/>
    <m/>
    <d v="2025-05-16T03:08:27"/>
  </r>
  <r>
    <n v="2025"/>
    <n v="5"/>
    <n v="2"/>
    <n v="756418"/>
    <s v="SHUBHAM NANDU SATHEELERD"/>
    <s v="TPL CEE"/>
    <s v="NEV"/>
    <s v="PUNE"/>
    <x v="2"/>
    <s v="INTEGRATED"/>
    <s v="Service Fees"/>
    <s v="ELERIDE MOBILITY SOLUTIONS PVT LTD"/>
    <s v="BIKE"/>
    <s v="INTEGRATED-IBBN-RC-009637-14"/>
    <s v="7 DAYS"/>
    <n v="82"/>
    <n v="3"/>
    <n v="0"/>
    <n v="53"/>
    <n v="29"/>
    <n v="82"/>
    <n v="6"/>
    <n v="0"/>
    <n v="378.8800048828125"/>
    <n v="90"/>
    <n v="0"/>
    <n v="2550"/>
    <n v="0"/>
    <n v="70"/>
    <n v="0"/>
    <n v="0"/>
    <n v="846"/>
    <n v="0"/>
    <n v="0"/>
    <n v="0"/>
    <n v="90"/>
    <n v="0"/>
    <n v="0"/>
    <n v="0"/>
    <n v="34.842643737792969"/>
    <n v="0"/>
    <n v="0"/>
    <n v="0"/>
    <s v=""/>
    <n v="0"/>
    <s v=""/>
    <n v="3556"/>
    <n v="1006"/>
    <n v="3556"/>
    <n v="3556"/>
    <n v="3556"/>
    <n v="204"/>
    <n v="3760"/>
    <n v="0"/>
    <n v="676.8"/>
    <n v="4436.8"/>
    <m/>
    <m/>
    <m/>
    <m/>
    <m/>
    <d v="2025-05-16T03:08:27"/>
  </r>
  <r>
    <n v="2025"/>
    <n v="5"/>
    <n v="2"/>
    <n v="756144"/>
    <s v="SACHIN NAYASE7350987782"/>
    <s v="TPL CEE"/>
    <s v="NEV"/>
    <s v="PUNE"/>
    <x v="3"/>
    <s v="INTEGRATED"/>
    <s v="Service Fees"/>
    <s v="ELERIDE MOBILITY SOLUTIONS PVT LTD"/>
    <s v="BIKE"/>
    <s v="INTEGRATED-IBBN-RC-009587-11"/>
    <s v="7 DAYS"/>
    <n v="192"/>
    <n v="1"/>
    <n v="0"/>
    <n v="136"/>
    <n v="56"/>
    <n v="192"/>
    <n v="7"/>
    <n v="0"/>
    <n v="831.78997802734375"/>
    <n v="30"/>
    <n v="0"/>
    <n v="5790"/>
    <n v="0"/>
    <n v="0"/>
    <n v="0"/>
    <n v="609.02001953125"/>
    <n v="2922"/>
    <n v="0"/>
    <n v="0"/>
    <n v="0"/>
    <n v="174"/>
    <n v="0"/>
    <n v="500"/>
    <n v="0"/>
    <n v="63"/>
    <n v="0"/>
    <n v="0"/>
    <n v="0"/>
    <s v=""/>
    <n v="0"/>
    <s v=""/>
    <n v="9995.01953125"/>
    <n v="4205.02001953125"/>
    <n v="9995.01953125"/>
    <n v="9995.01953125"/>
    <n v="9995.01953125"/>
    <n v="463.2"/>
    <n v="10458.219531250001"/>
    <n v="0"/>
    <n v="1882.479515625"/>
    <n v="12340.699046875001"/>
    <m/>
    <m/>
    <m/>
    <m/>
    <m/>
    <d v="2025-05-16T03:08:27"/>
  </r>
  <r>
    <n v="2025"/>
    <n v="5"/>
    <n v="2"/>
    <n v="744645"/>
    <s v="ELERIDESUNILDATTATRAY0RAUT"/>
    <s v="TPL CEE"/>
    <s v="EV"/>
    <s v="PUNE"/>
    <x v="0"/>
    <s v="INTEGRATED"/>
    <s v="Service Fees"/>
    <s v="ELERIDE MOBILITY SOLUTIONS PVT LTD"/>
    <s v="BIKE"/>
    <s v="INTEGRATED-IBBN-RC-008583-15"/>
    <s v="7 DAYS"/>
    <n v="18"/>
    <n v="1"/>
    <n v="0"/>
    <n v="9"/>
    <n v="9"/>
    <n v="18"/>
    <n v="3"/>
    <n v="0"/>
    <n v="93.230003356933594"/>
    <n v="27"/>
    <n v="0"/>
    <n v="513"/>
    <n v="0"/>
    <n v="0"/>
    <n v="0"/>
    <n v="0"/>
    <n v="0"/>
    <n v="0"/>
    <n v="0"/>
    <n v="0"/>
    <n v="30"/>
    <n v="0"/>
    <n v="0"/>
    <n v="0"/>
    <n v="8.7140226364135742"/>
    <n v="0"/>
    <n v="0"/>
    <n v="0"/>
    <s v=""/>
    <n v="0"/>
    <s v=""/>
    <n v="543"/>
    <n v="30"/>
    <n v="543"/>
    <n v="543"/>
    <n v="543"/>
    <n v="41.04"/>
    <n v="584.04"/>
    <n v="0"/>
    <n v="105.12719999999999"/>
    <n v="689.16719999999998"/>
    <m/>
    <m/>
    <m/>
    <m/>
    <m/>
    <d v="2025-05-16T03:08:27"/>
  </r>
  <r>
    <n v="2025"/>
    <n v="5"/>
    <n v="2"/>
    <n v="784832"/>
    <s v="MANJURULLAHKHAN ELERIDE"/>
    <s v="TPL CEE"/>
    <s v="NEV"/>
    <s v="PUNE"/>
    <x v="0"/>
    <s v="INTEGRATED"/>
    <s v="Service Fees"/>
    <s v="ELERIDE MOBILITY SOLUTIONS PVT LTD"/>
    <s v="BIKE"/>
    <s v="INTEGRATED-IBBN-RC-008582-16"/>
    <s v="7 DAYS"/>
    <n v="142"/>
    <n v="0"/>
    <n v="0"/>
    <n v="97"/>
    <n v="45"/>
    <n v="142"/>
    <n v="7"/>
    <n v="0"/>
    <n v="649.02001953125"/>
    <n v="0"/>
    <n v="0"/>
    <n v="4260"/>
    <n v="0"/>
    <n v="0"/>
    <n v="0"/>
    <n v="0"/>
    <n v="1928"/>
    <n v="0"/>
    <n v="0"/>
    <n v="50"/>
    <n v="135"/>
    <n v="0"/>
    <n v="250"/>
    <n v="0"/>
    <n v="61.444000244140625"/>
    <n v="0"/>
    <n v="0"/>
    <n v="0"/>
    <s v=""/>
    <n v="0"/>
    <s v=""/>
    <n v="6623"/>
    <n v="2363"/>
    <n v="6623"/>
    <n v="6623"/>
    <n v="6623"/>
    <n v="340.8"/>
    <n v="6963.8"/>
    <n v="0"/>
    <n v="1253.4839999999999"/>
    <n v="8217.2839999999997"/>
    <s v="MANJUR ULLAH KHAN"/>
    <s v="924010043095487"/>
    <s v="UTIB0000168"/>
    <s v="AXIS BANK"/>
    <d v="2025-05-05T00:00:00"/>
    <d v="2025-05-16T03:08:27"/>
  </r>
  <r>
    <n v="2025"/>
    <n v="5"/>
    <n v="2"/>
    <n v="780996"/>
    <s v="GAURAOJAISWAL"/>
    <s v="TPL CEE"/>
    <s v="EV"/>
    <s v="PUNE"/>
    <x v="4"/>
    <s v="INTEGRATED"/>
    <s v="Service Fees"/>
    <s v="ELERIDE MOBILITY SOLUTIONS PVT LTD"/>
    <s v="BIKE"/>
    <s v="INTEGRATED-IBBN-RC-013235-4"/>
    <s v="7 DAYS"/>
    <n v="16"/>
    <n v="0"/>
    <n v="0"/>
    <n v="16"/>
    <n v="0"/>
    <n v="16"/>
    <n v="3"/>
    <n v="0"/>
    <n v="58.529998779296875"/>
    <n v="0"/>
    <n v="0"/>
    <n v="432"/>
    <n v="0"/>
    <n v="65"/>
    <n v="0"/>
    <n v="9.6000003814697266"/>
    <n v="55"/>
    <n v="0"/>
    <n v="0"/>
    <n v="0"/>
    <n v="0"/>
    <n v="0"/>
    <n v="0"/>
    <n v="0"/>
    <n v="7.6686110496520996"/>
    <n v="0"/>
    <n v="0"/>
    <n v="0"/>
    <s v=""/>
    <n v="32"/>
    <s v="EV CHARGING DEDUCTION"/>
    <n v="561.5999755859375"/>
    <n v="129.60000610351562"/>
    <n v="561.5999755859375"/>
    <n v="561.5999755859375"/>
    <n v="529.5999755859375"/>
    <n v="34.56"/>
    <n v="564.15997558593745"/>
    <n v="0"/>
    <n v="101.54879560546874"/>
    <n v="665.70877119140619"/>
    <s v="MR GAURAO SHANKARLAL JAISWAL"/>
    <s v="25034936342"/>
    <s v="MAHB0000059"/>
    <s v="BANK OF MAHARASHTRA"/>
    <d v="2025-04-25T00:00:00"/>
    <d v="2025-05-16T03:08:27"/>
  </r>
  <r>
    <n v="2025"/>
    <n v="5"/>
    <n v="2"/>
    <n v="746897"/>
    <s v="SAMADHANJUGADA ELERIDE"/>
    <s v="TPL CEE"/>
    <s v="NEV"/>
    <s v="PUNE"/>
    <x v="0"/>
    <s v="INTEGRATED"/>
    <s v="Service Fees"/>
    <s v="ELERIDE MOBILITY SOLUTIONS PVT LTD"/>
    <s v="BIKE"/>
    <s v="INTEGRATED-IBBN-RC-008582-16"/>
    <s v="7 DAYS"/>
    <n v="19"/>
    <n v="1"/>
    <n v="0"/>
    <n v="9"/>
    <n v="10"/>
    <n v="19"/>
    <n v="2"/>
    <n v="0"/>
    <n v="99.160003662109375"/>
    <n v="30"/>
    <n v="0"/>
    <n v="600"/>
    <n v="0"/>
    <n v="0"/>
    <n v="0"/>
    <n v="0"/>
    <n v="0"/>
    <n v="0"/>
    <n v="0"/>
    <n v="0"/>
    <n v="30"/>
    <n v="0"/>
    <n v="0"/>
    <n v="0"/>
    <n v="9.2618217468261719"/>
    <n v="0"/>
    <n v="0"/>
    <n v="0"/>
    <s v=""/>
    <n v="0"/>
    <s v=""/>
    <n v="630"/>
    <n v="30"/>
    <n v="630"/>
    <n v="630"/>
    <n v="630"/>
    <n v="48"/>
    <n v="678"/>
    <n v="0"/>
    <n v="122.03999999999999"/>
    <n v="800.04"/>
    <m/>
    <m/>
    <m/>
    <m/>
    <m/>
    <d v="2025-05-16T03:08:27"/>
  </r>
  <r>
    <n v="2025"/>
    <n v="5"/>
    <n v="2"/>
    <n v="785895"/>
    <s v="DEEPAKKUSHWAHA"/>
    <s v="TPL CEE"/>
    <s v="LSV"/>
    <s v="PUNE"/>
    <x v="0"/>
    <s v="INTEGRATED"/>
    <s v="Service Fees"/>
    <s v="ELERIDE MOBILITY SOLUTIONS PVT LTD"/>
    <s v="BIKE"/>
    <s v="INTEGRATED-IBBN-RC-008583-15"/>
    <s v="7 DAYS"/>
    <n v="29"/>
    <n v="0"/>
    <n v="0"/>
    <n v="29"/>
    <n v="0"/>
    <n v="29"/>
    <n v="2"/>
    <n v="0"/>
    <n v="120.65000152587891"/>
    <n v="0"/>
    <n v="0"/>
    <n v="783"/>
    <n v="0"/>
    <n v="0"/>
    <n v="0"/>
    <n v="0"/>
    <n v="299"/>
    <n v="0"/>
    <n v="0"/>
    <n v="30"/>
    <n v="0"/>
    <n v="0"/>
    <n v="0"/>
    <n v="0"/>
    <n v="12.854922294616699"/>
    <n v="0"/>
    <n v="0"/>
    <n v="0"/>
    <s v=""/>
    <n v="0"/>
    <s v=""/>
    <n v="1112"/>
    <n v="329"/>
    <n v="1112"/>
    <n v="1112"/>
    <n v="1112"/>
    <n v="62.64"/>
    <n v="1174.6400000000001"/>
    <n v="0"/>
    <n v="211.43520000000001"/>
    <n v="1386.0752000000002"/>
    <s v="DEEPAK KUSHWAHA"/>
    <s v="6345703187"/>
    <s v="KKBK0005136"/>
    <s v="KOTAK MAHINDRA BANK"/>
    <d v="2025-05-07T00:00:00"/>
    <d v="2025-05-16T03:08:27"/>
  </r>
  <r>
    <n v="2025"/>
    <n v="5"/>
    <n v="2"/>
    <n v="784299"/>
    <s v="IMRANSHAIKH"/>
    <s v="TPL CEE"/>
    <s v="NEV"/>
    <s v="PUNE"/>
    <x v="5"/>
    <s v="INTEGRATED"/>
    <s v="Service Fees"/>
    <s v="ELERIDE MOBILITY SOLUTIONS PVT LTD"/>
    <s v="BIKE"/>
    <s v="INTEGRATED-IBBN-RC-009932-12"/>
    <s v="7 DAYS"/>
    <n v="101"/>
    <n v="0"/>
    <n v="0"/>
    <n v="65"/>
    <n v="36"/>
    <n v="101"/>
    <n v="5"/>
    <n v="0"/>
    <n v="484.239990234375"/>
    <n v="0"/>
    <n v="0"/>
    <n v="3030"/>
    <n v="0"/>
    <n v="0"/>
    <n v="0"/>
    <n v="0"/>
    <n v="1463"/>
    <n v="0"/>
    <n v="0"/>
    <n v="0"/>
    <n v="108"/>
    <n v="0"/>
    <n v="0"/>
    <n v="0"/>
    <n v="37.185222625732422"/>
    <n v="0"/>
    <n v="0"/>
    <n v="0"/>
    <s v=""/>
    <n v="140"/>
    <s v="IBND DEDUCTION, IBND DEDUCTION"/>
    <n v="4601"/>
    <n v="1571"/>
    <n v="4601"/>
    <n v="4601"/>
    <n v="4461"/>
    <n v="242.4"/>
    <n v="4703.3999999999996"/>
    <n v="0"/>
    <n v="846.61199999999985"/>
    <n v="5550.0119999999997"/>
    <s v="IMRAN AJEEJ SHAIKH"/>
    <s v="7798145335"/>
    <s v="AIRP0000001"/>
    <s v="AIRTEL PAYMENTS BANK"/>
    <d v="2025-05-03T00:00:00"/>
    <d v="2025-05-16T03:08:27"/>
  </r>
  <r>
    <n v="2025"/>
    <n v="5"/>
    <n v="2"/>
    <n v="735193"/>
    <s v="ELERIDEFIRSTDHAMMPAL AVHAD"/>
    <s v="TPL CEE"/>
    <s v="EV"/>
    <s v="PUNE"/>
    <x v="0"/>
    <s v="INTEGRATED"/>
    <s v="Service Fees"/>
    <s v="ELERIDE MOBILITY SOLUTIONS PVT LTD"/>
    <s v="BIKE"/>
    <s v="INTEGRATED-IBBN-RC-008583-15"/>
    <s v="7 DAYS"/>
    <n v="60"/>
    <n v="1"/>
    <n v="0"/>
    <n v="45"/>
    <n v="15"/>
    <n v="60"/>
    <n v="6"/>
    <n v="0"/>
    <n v="282.60000610351562"/>
    <n v="27"/>
    <n v="0"/>
    <n v="1647"/>
    <n v="0"/>
    <n v="0"/>
    <n v="0"/>
    <n v="0"/>
    <n v="539"/>
    <n v="0"/>
    <n v="0"/>
    <n v="0"/>
    <n v="45"/>
    <n v="0"/>
    <n v="0"/>
    <n v="0"/>
    <n v="29.132932662963867"/>
    <n v="0"/>
    <n v="0"/>
    <n v="0"/>
    <s v=""/>
    <n v="0"/>
    <s v=""/>
    <n v="2231"/>
    <n v="584"/>
    <n v="2231"/>
    <n v="2231"/>
    <n v="2231"/>
    <n v="131.76"/>
    <n v="2362.7600000000002"/>
    <n v="0"/>
    <n v="425.29680000000002"/>
    <n v="2788.0568000000003"/>
    <m/>
    <m/>
    <m/>
    <m/>
    <m/>
    <d v="2025-05-16T03:08:27"/>
  </r>
  <r>
    <n v="2025"/>
    <n v="5"/>
    <n v="2"/>
    <n v="754658"/>
    <s v="LATIF SHAIKHELRD BREAK"/>
    <s v="TPL CEE"/>
    <s v="EV"/>
    <s v="PUNE"/>
    <x v="6"/>
    <s v="INTEGRATED"/>
    <s v="Service Fees"/>
    <s v="ELERIDE MOBILITY SOLUTIONS PVT LTD"/>
    <s v="BIKE"/>
    <s v="INTEGRATED-IBBN-RC-011702-4"/>
    <s v="7 DAYS"/>
    <n v="12"/>
    <n v="0"/>
    <n v="0"/>
    <n v="0"/>
    <n v="12"/>
    <n v="12"/>
    <n v="1"/>
    <n v="0"/>
    <n v="50.270000457763672"/>
    <n v="0"/>
    <n v="0"/>
    <n v="324"/>
    <n v="0"/>
    <n v="0"/>
    <n v="0"/>
    <n v="0"/>
    <n v="60"/>
    <n v="0"/>
    <n v="0"/>
    <n v="0"/>
    <n v="36"/>
    <n v="0"/>
    <n v="0"/>
    <n v="0"/>
    <n v="5.058499813079834"/>
    <n v="0"/>
    <n v="0"/>
    <n v="0"/>
    <s v=""/>
    <n v="0"/>
    <s v=""/>
    <n v="420"/>
    <n v="96"/>
    <n v="420"/>
    <n v="420"/>
    <n v="420"/>
    <n v="25.92"/>
    <n v="445.92"/>
    <n v="0"/>
    <n v="80.265600000000006"/>
    <n v="526.18560000000002"/>
    <m/>
    <m/>
    <m/>
    <m/>
    <m/>
    <d v="2025-05-16T03:08:27"/>
  </r>
  <r>
    <n v="2025"/>
    <n v="5"/>
    <n v="2"/>
    <n v="738700"/>
    <s v="ELERIDEAMAN JADHAV"/>
    <s v="TPL CEE"/>
    <s v="NEV"/>
    <s v="PUNE"/>
    <x v="1"/>
    <s v="INTEGRATED"/>
    <s v="Service Fees"/>
    <s v="ELERIDE MOBILITY SOLUTIONS PVT LTD"/>
    <s v="BIKE"/>
    <s v="INTEGRATED-IBBN-RC-009659-8"/>
    <s v="7 DAYS"/>
    <n v="215"/>
    <n v="7"/>
    <n v="0"/>
    <n v="134"/>
    <n v="81"/>
    <n v="215"/>
    <n v="6"/>
    <n v="0"/>
    <n v="1010.6599731445312"/>
    <n v="210"/>
    <n v="0"/>
    <n v="6660"/>
    <n v="0"/>
    <n v="445"/>
    <n v="0"/>
    <n v="0"/>
    <n v="3578"/>
    <n v="0"/>
    <n v="0"/>
    <n v="0"/>
    <n v="249"/>
    <n v="0"/>
    <n v="250"/>
    <n v="0"/>
    <n v="49.756668090820313"/>
    <n v="0"/>
    <n v="0"/>
    <n v="0"/>
    <s v=""/>
    <n v="43"/>
    <s v="IBND DEDUCTION"/>
    <n v="11182"/>
    <n v="4522"/>
    <n v="11182"/>
    <n v="11182"/>
    <n v="11139"/>
    <n v="532.79999999999995"/>
    <n v="11671.8"/>
    <n v="0"/>
    <n v="2100.924"/>
    <n v="13772.723999999998"/>
    <m/>
    <m/>
    <m/>
    <m/>
    <d v="2024-12-19T00:00:00"/>
    <d v="2025-05-16T03:08:27"/>
  </r>
  <r>
    <n v="2025"/>
    <n v="5"/>
    <n v="2"/>
    <n v="763173"/>
    <s v="ADESH KUMAR RAWATELERIDE"/>
    <s v="TPL CEE"/>
    <s v="EV"/>
    <s v="PUNE"/>
    <x v="6"/>
    <s v="INTEGRATED"/>
    <s v="Service Fees"/>
    <s v="ELERIDE MOBILITY SOLUTIONS PVT LTD"/>
    <s v="BIKE"/>
    <s v="INTEGRATED-IBBN-RC-011702-4"/>
    <s v="7 DAYS"/>
    <n v="97"/>
    <n v="5"/>
    <n v="0"/>
    <n v="54"/>
    <n v="43"/>
    <n v="97"/>
    <n v="6"/>
    <n v="0"/>
    <n v="360.17001342773437"/>
    <n v="135"/>
    <n v="0"/>
    <n v="2754"/>
    <n v="0"/>
    <n v="2240"/>
    <n v="0"/>
    <n v="0"/>
    <n v="1233"/>
    <n v="0"/>
    <n v="0"/>
    <n v="0"/>
    <n v="129"/>
    <n v="0"/>
    <n v="0"/>
    <n v="0"/>
    <n v="41.628501892089844"/>
    <n v="0"/>
    <n v="0"/>
    <n v="600"/>
    <s v="NIGHT SHIFT MG"/>
    <n v="233"/>
    <s v="ORDER CASH NOT DEPOSITED AT HUB"/>
    <n v="6356"/>
    <n v="3602"/>
    <n v="6356"/>
    <n v="6956"/>
    <n v="6723"/>
    <n v="220.32"/>
    <n v="6943.32"/>
    <n v="0"/>
    <n v="1249.7975999999999"/>
    <n v="8193.1175999999996"/>
    <m/>
    <m/>
    <m/>
    <m/>
    <m/>
    <d v="2025-05-16T03:08:27"/>
  </r>
  <r>
    <n v="2025"/>
    <n v="5"/>
    <n v="2"/>
    <n v="787959"/>
    <s v="VEDANTPANCHAL"/>
    <s v="TPL CEE"/>
    <s v="NEV"/>
    <s v="PUNE"/>
    <x v="5"/>
    <s v="INTEGRATED"/>
    <s v="Service Fees"/>
    <s v="ELERIDE MOBILITY SOLUTIONS PVT LTD"/>
    <s v="BIKE"/>
    <s v="INTEGRATED-IBBN-RC-009932-12"/>
    <s v="7 DAYS"/>
    <n v="16"/>
    <n v="0"/>
    <n v="0"/>
    <n v="16"/>
    <n v="0"/>
    <n v="16"/>
    <n v="2"/>
    <n v="0"/>
    <n v="80.550003051757813"/>
    <n v="0"/>
    <n v="0"/>
    <n v="480"/>
    <n v="0"/>
    <n v="0"/>
    <n v="0"/>
    <n v="0"/>
    <n v="0"/>
    <n v="0"/>
    <n v="0"/>
    <n v="0"/>
    <n v="0"/>
    <n v="0"/>
    <n v="0"/>
    <n v="0"/>
    <n v="8.7689447402954102"/>
    <n v="0"/>
    <n v="0"/>
    <n v="0"/>
    <s v=""/>
    <n v="0"/>
    <s v=""/>
    <n v="480"/>
    <n v="0"/>
    <n v="480"/>
    <n v="480"/>
    <n v="480"/>
    <n v="38.4"/>
    <n v="518.4"/>
    <n v="0"/>
    <n v="93.311999999999998"/>
    <n v="611.71199999999999"/>
    <s v="PANCHAL VEDANT RAMRAO"/>
    <s v="924010043145320"/>
    <s v="UTIB0001576"/>
    <s v="AXIS BANK"/>
    <d v="2025-05-12T00:00:00"/>
    <d v="2025-05-16T03:08:27"/>
  </r>
  <r>
    <n v="2025"/>
    <n v="5"/>
    <n v="2"/>
    <n v="786490"/>
    <s v="SANTOSH NAYASE7517557492"/>
    <s v="TPL CEE"/>
    <s v="LSV"/>
    <s v="PUNE"/>
    <x v="3"/>
    <s v="INTEGRATED"/>
    <s v="Service Fees"/>
    <s v="ELERIDE MOBILITY SOLUTIONS PVT LTD"/>
    <s v="BIKE"/>
    <s v="INTEGRATED-IBBN-RC-009586-10"/>
    <s v="7 DAYS"/>
    <n v="124"/>
    <n v="0"/>
    <n v="0"/>
    <n v="87"/>
    <n v="37"/>
    <n v="124"/>
    <n v="6"/>
    <n v="0"/>
    <n v="598.95001220703125"/>
    <n v="0"/>
    <n v="0"/>
    <n v="3348"/>
    <n v="0"/>
    <n v="70"/>
    <n v="0"/>
    <n v="519.8599853515625"/>
    <n v="1461"/>
    <n v="0"/>
    <n v="0"/>
    <n v="0"/>
    <n v="111"/>
    <n v="0"/>
    <n v="250"/>
    <n v="0"/>
    <n v="54"/>
    <n v="0"/>
    <n v="0"/>
    <n v="0"/>
    <s v=""/>
    <n v="0"/>
    <s v=""/>
    <n v="5759.85986328125"/>
    <n v="2411.860107421875"/>
    <n v="5759.85986328125"/>
    <n v="5759.85986328125"/>
    <n v="5759.85986328125"/>
    <n v="267.84000000000003"/>
    <n v="6027.6998632812501"/>
    <n v="0"/>
    <n v="1084.9859753906251"/>
    <n v="7112.685838671875"/>
    <s v="SANTOSH AMBADAS NAYSE"/>
    <s v="4050174360"/>
    <s v="KKBK0001793"/>
    <s v="KOTAK MAHINDRA BANK"/>
    <d v="2025-05-09T00:00:00"/>
    <d v="2025-05-16T03:08:27"/>
  </r>
  <r>
    <n v="2025"/>
    <n v="5"/>
    <n v="2"/>
    <n v="757911"/>
    <s v="ROHAN SUDHKAR CHAVANELRD  BREAK"/>
    <s v="TPL CEE"/>
    <s v="EV"/>
    <s v="PUNE"/>
    <x v="6"/>
    <s v="INTEGRATED"/>
    <s v="Service Fees"/>
    <s v="ELERIDE MOBILITY SOLUTIONS PVT LTD"/>
    <s v="BIKE"/>
    <s v="INTEGRATED-IBBN-RC-011702-4"/>
    <s v="7 DAYS"/>
    <n v="194"/>
    <n v="2"/>
    <n v="0"/>
    <n v="130"/>
    <n v="64"/>
    <n v="194"/>
    <n v="7"/>
    <n v="0"/>
    <n v="658.44000244140625"/>
    <n v="54"/>
    <n v="0"/>
    <n v="5292"/>
    <n v="0"/>
    <n v="0"/>
    <n v="0"/>
    <n v="0"/>
    <n v="3093"/>
    <n v="0"/>
    <n v="0"/>
    <n v="60"/>
    <n v="201"/>
    <n v="0"/>
    <n v="500"/>
    <n v="0"/>
    <n v="59.011821746826172"/>
    <n v="0"/>
    <n v="0"/>
    <n v="0"/>
    <s v=""/>
    <n v="458"/>
    <s v="ORDER CASH NOT DEPOSITED AT HUB"/>
    <n v="9146"/>
    <n v="3854"/>
    <n v="9146"/>
    <n v="9146"/>
    <n v="8688"/>
    <n v="423.36"/>
    <n v="9111.36"/>
    <n v="0"/>
    <n v="1640.0448000000001"/>
    <n v="10751.4048"/>
    <m/>
    <m/>
    <m/>
    <m/>
    <m/>
    <d v="2025-05-16T03:08:27"/>
  </r>
  <r>
    <n v="2025"/>
    <n v="5"/>
    <n v="2"/>
    <n v="741275"/>
    <s v="NIKHIL RAJU GUPTELERIDE BREAK"/>
    <s v="TPL CEE"/>
    <s v="NEV"/>
    <s v="PUNE"/>
    <x v="7"/>
    <s v="INTEGRATED"/>
    <s v="Service Fees"/>
    <s v="ELERIDE MOBILITY SOLUTIONS PVT LTD"/>
    <s v="BIKE"/>
    <s v="INTEGRATED-IBBN-RC-009931-11"/>
    <s v="7 DAYS"/>
    <n v="202"/>
    <n v="1"/>
    <n v="0"/>
    <n v="152"/>
    <n v="50"/>
    <n v="202"/>
    <n v="7"/>
    <n v="0"/>
    <n v="1006.02001953125"/>
    <n v="30"/>
    <n v="0"/>
    <n v="6090"/>
    <n v="0"/>
    <n v="2020"/>
    <n v="0"/>
    <n v="527.15997314453125"/>
    <n v="3434"/>
    <n v="0"/>
    <n v="0"/>
    <n v="0"/>
    <n v="156"/>
    <n v="0"/>
    <n v="800"/>
    <n v="0"/>
    <n v="61.51422119140625"/>
    <n v="2800"/>
    <n v="6"/>
    <n v="0"/>
    <s v=""/>
    <n v="1110"/>
    <s v="INCORRECT ORDER ACKNOWLEDGEMENT PROCESS DEVIATION, INCORRECT ORDER ACKNOWLEDGEMENT PROCESS DEVIATION, IBND DEDUCTION, WRONG CALCULATION AT IMPLEMENTATION TIME"/>
    <n v="13027.16015625"/>
    <n v="6937.16015625"/>
    <n v="15827.16015625"/>
    <n v="15827.16015625"/>
    <n v="14717.16015625"/>
    <n v="487.2"/>
    <n v="15204.360156250001"/>
    <n v="0"/>
    <n v="2736.7848281249999"/>
    <n v="17941.144984375002"/>
    <m/>
    <m/>
    <m/>
    <m/>
    <m/>
    <d v="2025-05-16T03:08:27"/>
  </r>
  <r>
    <n v="2025"/>
    <n v="5"/>
    <n v="2"/>
    <n v="754583"/>
    <s v="DATTA JADHAVELRD BREAK"/>
    <s v="TPL CEE"/>
    <s v="EV"/>
    <s v="PUNE"/>
    <x v="0"/>
    <s v="INTEGRATED"/>
    <s v="Service Fees"/>
    <s v="ELERIDE MOBILITY SOLUTIONS PVT LTD"/>
    <s v="BIKE"/>
    <s v="INTEGRATED-IBBN-RC-008583-15"/>
    <s v="7 DAYS"/>
    <n v="58"/>
    <n v="2"/>
    <n v="0"/>
    <n v="28"/>
    <n v="30"/>
    <n v="58"/>
    <n v="4"/>
    <n v="0"/>
    <n v="285.14999389648438"/>
    <n v="54"/>
    <n v="0"/>
    <n v="1620"/>
    <n v="0"/>
    <n v="0"/>
    <n v="0"/>
    <n v="0"/>
    <n v="676"/>
    <n v="0"/>
    <n v="0"/>
    <n v="0"/>
    <n v="96"/>
    <n v="0"/>
    <n v="0"/>
    <n v="0"/>
    <n v="24.874122619628906"/>
    <n v="0"/>
    <n v="0"/>
    <n v="0"/>
    <s v=""/>
    <n v="0"/>
    <s v=""/>
    <n v="2392"/>
    <n v="772"/>
    <n v="2392"/>
    <n v="2392"/>
    <n v="2392"/>
    <n v="129.6"/>
    <n v="2521.6"/>
    <n v="0"/>
    <n v="453.88799999999998"/>
    <n v="2975.4879999999998"/>
    <m/>
    <m/>
    <m/>
    <m/>
    <m/>
    <d v="2025-05-16T03:08:27"/>
  </r>
  <r>
    <n v="2025"/>
    <n v="5"/>
    <n v="2"/>
    <n v="754742"/>
    <s v="SAMIR PATELELERD"/>
    <s v="TPL CEE"/>
    <s v="EV"/>
    <s v="PUNE"/>
    <x v="0"/>
    <s v="INTEGRATED"/>
    <s v="Service Fees"/>
    <s v="ELERIDE MOBILITY SOLUTIONS PVT LTD"/>
    <s v="BIKE"/>
    <s v="INTEGRATED-IBBN-RC-008583-15"/>
    <s v="7 DAYS"/>
    <n v="127"/>
    <n v="0"/>
    <n v="0"/>
    <n v="80"/>
    <n v="47"/>
    <n v="127"/>
    <n v="7"/>
    <n v="0"/>
    <n v="560.27001953125"/>
    <n v="0"/>
    <n v="0"/>
    <n v="3429"/>
    <n v="0"/>
    <n v="0"/>
    <n v="0"/>
    <n v="0"/>
    <n v="1498"/>
    <n v="0"/>
    <n v="0"/>
    <n v="30"/>
    <n v="141"/>
    <n v="0"/>
    <n v="250"/>
    <n v="0"/>
    <n v="52.626476287841797"/>
    <n v="0"/>
    <n v="0"/>
    <n v="0"/>
    <s v=""/>
    <n v="0"/>
    <s v=""/>
    <n v="5348"/>
    <n v="1919"/>
    <n v="5348"/>
    <n v="5348"/>
    <n v="5348"/>
    <n v="274.32"/>
    <n v="5622.32"/>
    <n v="0"/>
    <n v="1012.0175999999999"/>
    <n v="6634.3375999999998"/>
    <m/>
    <m/>
    <m/>
    <m/>
    <m/>
    <d v="2025-05-16T03:08:27"/>
  </r>
  <r>
    <n v="2025"/>
    <n v="5"/>
    <n v="2"/>
    <n v="739199"/>
    <s v="SURENDRA MOHITEELERIDE"/>
    <s v="TPL CEE"/>
    <s v="EV"/>
    <s v="PUNE"/>
    <x v="8"/>
    <s v="INTEGRATED"/>
    <s v="Service Fees"/>
    <s v="ELERIDE MOBILITY SOLUTIONS PVT LTD"/>
    <s v="BIKE"/>
    <s v="INTEGRATED-IBBN-RC-009004-18"/>
    <s v="7 DAYS"/>
    <n v="15"/>
    <n v="1"/>
    <n v="0"/>
    <n v="15"/>
    <n v="0"/>
    <n v="15"/>
    <n v="2"/>
    <n v="0"/>
    <n v="50.509998321533203"/>
    <n v="27"/>
    <n v="0"/>
    <n v="432"/>
    <n v="0"/>
    <n v="0"/>
    <n v="0"/>
    <n v="9.3000001907348633"/>
    <n v="60"/>
    <n v="0"/>
    <n v="0"/>
    <n v="0"/>
    <n v="0"/>
    <n v="0"/>
    <n v="0"/>
    <n v="0"/>
    <n v="6.6706557273864746"/>
    <n v="0"/>
    <n v="0"/>
    <n v="90"/>
    <s v="EXCEPTION - PENDING PAYOUT"/>
    <n v="0"/>
    <s v=""/>
    <n v="501.29998779296875"/>
    <n v="69.300003051757812"/>
    <n v="501.29998779296875"/>
    <n v="591.29998779296875"/>
    <n v="591.29998779296875"/>
    <n v="34.56"/>
    <n v="625.8599877929687"/>
    <n v="0"/>
    <n v="112.65479780273436"/>
    <n v="738.51478559570307"/>
    <m/>
    <m/>
    <m/>
    <m/>
    <m/>
    <d v="2025-05-16T03:08: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13" firstHeaderRow="0" firstDataRow="1" firstDataCol="1"/>
  <pivotFields count="62"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axis="axisRow" showAll="0">
      <items count="10">
        <item x="0"/>
        <item x="1"/>
        <item x="7"/>
        <item x="5"/>
        <item x="6"/>
        <item x="2"/>
        <item x="4"/>
        <item x="8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5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numFmtId="165" showAll="0"/>
    <pivotField dataField="1" numFmtId="165" showAll="0"/>
    <pivotField numFmtId="164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6"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elivered_orders" fld="15" baseField="0" baseItem="0"/>
    <dataField name="Sum of total_with_management_fee" fld="52" baseField="0" baseItem="0"/>
    <dataField name="Sum of total_with_arrears_and_deductions" fld="50" baseField="0" baseItem="0"/>
    <dataField name="Sum of management_fee" fld="5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3"/>
  <sheetViews>
    <sheetView topLeftCell="B1" workbookViewId="0">
      <selection activeCell="A3" sqref="A3:E13"/>
    </sheetView>
  </sheetViews>
  <sheetFormatPr defaultRowHeight="14.25"/>
  <cols>
    <col min="1" max="1" width="27" bestFit="1" customWidth="1"/>
    <col min="2" max="2" width="23.25" bestFit="1" customWidth="1"/>
    <col min="3" max="3" width="32.75" customWidth="1"/>
    <col min="4" max="4" width="39.375" customWidth="1"/>
    <col min="5" max="5" width="23" customWidth="1"/>
  </cols>
  <sheetData>
    <row r="3" spans="1:5">
      <c r="A3" s="6" t="s">
        <v>145</v>
      </c>
      <c r="B3" t="s">
        <v>147</v>
      </c>
      <c r="C3" t="s">
        <v>150</v>
      </c>
      <c r="D3" t="s">
        <v>148</v>
      </c>
      <c r="E3" t="s">
        <v>149</v>
      </c>
    </row>
    <row r="4" spans="1:5">
      <c r="A4" s="7" t="s">
        <v>66</v>
      </c>
      <c r="B4" s="8">
        <v>596</v>
      </c>
      <c r="C4" s="8">
        <v>25433.199999999997</v>
      </c>
      <c r="D4" s="8">
        <v>24094</v>
      </c>
      <c r="E4" s="8">
        <v>1339.2</v>
      </c>
    </row>
    <row r="5" spans="1:5">
      <c r="A5" s="7" t="s">
        <v>75</v>
      </c>
      <c r="B5" s="8">
        <v>256</v>
      </c>
      <c r="C5" s="8">
        <v>13188.519999999999</v>
      </c>
      <c r="D5" s="8">
        <v>12565</v>
      </c>
      <c r="E5" s="8">
        <v>623.52</v>
      </c>
    </row>
    <row r="6" spans="1:5">
      <c r="A6" s="7" t="s">
        <v>136</v>
      </c>
      <c r="B6" s="8">
        <v>202</v>
      </c>
      <c r="C6" s="8">
        <v>15204.360156250001</v>
      </c>
      <c r="D6" s="8">
        <v>14717.16015625</v>
      </c>
      <c r="E6" s="8">
        <v>487.2</v>
      </c>
    </row>
    <row r="7" spans="1:5">
      <c r="A7" s="7" t="s">
        <v>108</v>
      </c>
      <c r="B7" s="8">
        <v>117</v>
      </c>
      <c r="C7" s="8">
        <v>5221.7999999999993</v>
      </c>
      <c r="D7" s="8">
        <v>4941</v>
      </c>
      <c r="E7" s="8">
        <v>280.8</v>
      </c>
    </row>
    <row r="8" spans="1:5">
      <c r="A8" s="7" t="s">
        <v>117</v>
      </c>
      <c r="B8" s="8">
        <v>303</v>
      </c>
      <c r="C8" s="8">
        <v>16500.599999999999</v>
      </c>
      <c r="D8" s="8">
        <v>15831</v>
      </c>
      <c r="E8" s="8">
        <v>669.6</v>
      </c>
    </row>
    <row r="9" spans="1:5">
      <c r="A9" s="7" t="s">
        <v>81</v>
      </c>
      <c r="B9" s="8">
        <v>82</v>
      </c>
      <c r="C9" s="8">
        <v>3760</v>
      </c>
      <c r="D9" s="8">
        <v>3556</v>
      </c>
      <c r="E9" s="8">
        <v>204</v>
      </c>
    </row>
    <row r="10" spans="1:5">
      <c r="A10" s="7" t="s">
        <v>94</v>
      </c>
      <c r="B10" s="8">
        <v>16</v>
      </c>
      <c r="C10" s="8">
        <v>564.15997558593745</v>
      </c>
      <c r="D10" s="8">
        <v>529.5999755859375</v>
      </c>
      <c r="E10" s="8">
        <v>34.56</v>
      </c>
    </row>
    <row r="11" spans="1:5">
      <c r="A11" s="7" t="s">
        <v>142</v>
      </c>
      <c r="B11" s="8">
        <v>15</v>
      </c>
      <c r="C11" s="8">
        <v>625.8599877929687</v>
      </c>
      <c r="D11" s="8">
        <v>591.29998779296875</v>
      </c>
      <c r="E11" s="8">
        <v>34.56</v>
      </c>
    </row>
    <row r="12" spans="1:5">
      <c r="A12" s="7" t="s">
        <v>84</v>
      </c>
      <c r="B12" s="8">
        <v>316</v>
      </c>
      <c r="C12" s="8">
        <v>16485.919394531251</v>
      </c>
      <c r="D12" s="8">
        <v>15754.87939453125</v>
      </c>
      <c r="E12" s="8">
        <v>731.04</v>
      </c>
    </row>
    <row r="13" spans="1:5">
      <c r="A13" s="7" t="s">
        <v>146</v>
      </c>
      <c r="B13" s="8">
        <v>1903</v>
      </c>
      <c r="C13" s="8">
        <v>96984.419514160167</v>
      </c>
      <c r="D13" s="8">
        <v>92579.939514160156</v>
      </c>
      <c r="E13" s="8">
        <v>4404.4799999999996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3"/>
  <sheetViews>
    <sheetView tabSelected="1" workbookViewId="0">
      <pane xSplit="6" topLeftCell="AQ1" activePane="topRight" state="frozen"/>
      <selection pane="topRight" activeCell="A19" sqref="A19:XFD19"/>
    </sheetView>
  </sheetViews>
  <sheetFormatPr defaultRowHeight="14.25"/>
  <cols>
    <col min="5" max="5" width="39.125" bestFit="1" customWidth="1"/>
    <col min="45" max="45" width="17.125" bestFit="1" customWidth="1"/>
    <col min="46" max="46" width="25.5" customWidth="1"/>
  </cols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2025</v>
      </c>
      <c r="B2" s="2">
        <v>5</v>
      </c>
      <c r="C2" s="2">
        <v>2</v>
      </c>
      <c r="D2" s="2">
        <v>755539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69</v>
      </c>
      <c r="M2" s="1" t="s">
        <v>70</v>
      </c>
      <c r="N2" s="1" t="s">
        <v>71</v>
      </c>
      <c r="O2" s="1" t="s">
        <v>72</v>
      </c>
      <c r="P2" s="2">
        <v>73</v>
      </c>
      <c r="Q2" s="2">
        <v>0</v>
      </c>
      <c r="R2" s="2">
        <v>0</v>
      </c>
      <c r="S2" s="2">
        <v>53</v>
      </c>
      <c r="T2" s="2">
        <v>20</v>
      </c>
      <c r="U2" s="2">
        <v>73</v>
      </c>
      <c r="V2" s="2">
        <v>5</v>
      </c>
      <c r="W2" s="2">
        <v>0</v>
      </c>
      <c r="X2" s="3">
        <v>346.29998779296875</v>
      </c>
      <c r="Y2" s="2">
        <v>0</v>
      </c>
      <c r="Z2" s="2">
        <v>0</v>
      </c>
      <c r="AA2" s="2">
        <v>1971</v>
      </c>
      <c r="AB2" s="2">
        <v>0</v>
      </c>
      <c r="AC2" s="2">
        <v>0</v>
      </c>
      <c r="AD2" s="2">
        <v>0</v>
      </c>
      <c r="AE2" s="2">
        <v>0</v>
      </c>
      <c r="AF2" s="2">
        <v>874</v>
      </c>
      <c r="AG2" s="2">
        <v>0</v>
      </c>
      <c r="AH2" s="2">
        <v>0</v>
      </c>
      <c r="AI2" s="2">
        <v>0</v>
      </c>
      <c r="AJ2" s="2">
        <v>60</v>
      </c>
      <c r="AK2" s="2">
        <v>0</v>
      </c>
      <c r="AL2" s="2">
        <v>0</v>
      </c>
      <c r="AM2" s="2">
        <v>0</v>
      </c>
      <c r="AN2" s="3">
        <v>30.679244995117188</v>
      </c>
      <c r="AO2" s="2">
        <v>0</v>
      </c>
      <c r="AP2" s="2">
        <v>0</v>
      </c>
      <c r="AQ2" s="2">
        <v>0</v>
      </c>
      <c r="AR2" s="1" t="s">
        <v>73</v>
      </c>
      <c r="AS2" s="2">
        <v>0</v>
      </c>
      <c r="AT2" s="1" t="s">
        <v>73</v>
      </c>
      <c r="AU2" s="2">
        <v>2905</v>
      </c>
      <c r="AV2" s="2">
        <v>934</v>
      </c>
      <c r="AW2" s="2">
        <v>2905</v>
      </c>
      <c r="AX2" s="2">
        <v>2905</v>
      </c>
      <c r="AY2" s="2">
        <v>2905</v>
      </c>
      <c r="AZ2" s="3">
        <v>157.68</v>
      </c>
      <c r="BA2" s="3">
        <v>3062.68</v>
      </c>
      <c r="BB2" s="2">
        <v>0</v>
      </c>
      <c r="BC2" s="3">
        <v>551.28239999999994</v>
      </c>
      <c r="BD2" s="3">
        <v>3613.9623999999999</v>
      </c>
      <c r="BE2" s="1"/>
      <c r="BF2" s="1"/>
      <c r="BG2" s="1"/>
      <c r="BH2" s="1"/>
      <c r="BI2" s="1"/>
      <c r="BJ2" s="4">
        <v>45793.130868055552</v>
      </c>
    </row>
    <row r="3" spans="1:62">
      <c r="A3" s="2">
        <v>2025</v>
      </c>
      <c r="B3" s="2">
        <v>5</v>
      </c>
      <c r="C3" s="2">
        <v>2</v>
      </c>
      <c r="D3" s="2">
        <v>739946</v>
      </c>
      <c r="E3" s="1" t="s">
        <v>74</v>
      </c>
      <c r="F3" s="1" t="s">
        <v>63</v>
      </c>
      <c r="G3" s="1" t="s">
        <v>64</v>
      </c>
      <c r="H3" s="1" t="s">
        <v>65</v>
      </c>
      <c r="I3" s="1" t="s">
        <v>75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76</v>
      </c>
      <c r="O3" s="1" t="s">
        <v>72</v>
      </c>
      <c r="P3" s="2">
        <v>41</v>
      </c>
      <c r="Q3" s="2">
        <v>1</v>
      </c>
      <c r="R3" s="2">
        <v>0</v>
      </c>
      <c r="S3" s="2">
        <v>40</v>
      </c>
      <c r="T3" s="2">
        <v>1</v>
      </c>
      <c r="U3" s="2">
        <v>41</v>
      </c>
      <c r="V3" s="2">
        <v>5</v>
      </c>
      <c r="W3" s="2">
        <v>0</v>
      </c>
      <c r="X3" s="3">
        <v>197.47999572753906</v>
      </c>
      <c r="Y3" s="2">
        <v>27</v>
      </c>
      <c r="Z3" s="2">
        <v>0</v>
      </c>
      <c r="AA3" s="2">
        <v>1134</v>
      </c>
      <c r="AB3" s="2">
        <v>0</v>
      </c>
      <c r="AC3" s="2">
        <v>75</v>
      </c>
      <c r="AD3" s="2">
        <v>0</v>
      </c>
      <c r="AE3" s="2">
        <v>0</v>
      </c>
      <c r="AF3" s="2">
        <v>294</v>
      </c>
      <c r="AG3" s="2">
        <v>0</v>
      </c>
      <c r="AH3" s="2">
        <v>0</v>
      </c>
      <c r="AI3" s="2">
        <v>0</v>
      </c>
      <c r="AJ3" s="2">
        <v>3</v>
      </c>
      <c r="AK3" s="2">
        <v>0</v>
      </c>
      <c r="AL3" s="2">
        <v>0</v>
      </c>
      <c r="AM3" s="2">
        <v>0</v>
      </c>
      <c r="AN3" s="3">
        <v>20.478076934814453</v>
      </c>
      <c r="AO3" s="2">
        <v>0</v>
      </c>
      <c r="AP3" s="2">
        <v>0</v>
      </c>
      <c r="AQ3" s="2">
        <v>0</v>
      </c>
      <c r="AR3" s="1" t="s">
        <v>73</v>
      </c>
      <c r="AS3" s="2">
        <v>80</v>
      </c>
      <c r="AT3" s="1" t="s">
        <v>77</v>
      </c>
      <c r="AU3" s="2">
        <v>1506</v>
      </c>
      <c r="AV3" s="2">
        <v>372</v>
      </c>
      <c r="AW3" s="2">
        <v>1506</v>
      </c>
      <c r="AX3" s="2">
        <v>1506</v>
      </c>
      <c r="AY3" s="2">
        <v>1426</v>
      </c>
      <c r="AZ3" s="3">
        <v>90.72</v>
      </c>
      <c r="BA3" s="3">
        <v>1516.72</v>
      </c>
      <c r="BB3" s="2">
        <v>0</v>
      </c>
      <c r="BC3" s="3">
        <v>273.00959999999998</v>
      </c>
      <c r="BD3" s="3">
        <v>1789.7296000000001</v>
      </c>
      <c r="BE3" s="1"/>
      <c r="BF3" s="1"/>
      <c r="BG3" s="1"/>
      <c r="BH3" s="1"/>
      <c r="BI3" s="1"/>
      <c r="BJ3" s="4">
        <v>45793.130868055552</v>
      </c>
    </row>
    <row r="4" spans="1:62">
      <c r="A4" s="2">
        <v>2025</v>
      </c>
      <c r="B4" s="2">
        <v>5</v>
      </c>
      <c r="C4" s="2">
        <v>2</v>
      </c>
      <c r="D4" s="2">
        <v>753406</v>
      </c>
      <c r="E4" s="1" t="s">
        <v>78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71</v>
      </c>
      <c r="O4" s="1" t="s">
        <v>72</v>
      </c>
      <c r="P4" s="2">
        <v>70</v>
      </c>
      <c r="Q4" s="2">
        <v>1</v>
      </c>
      <c r="R4" s="2">
        <v>0</v>
      </c>
      <c r="S4" s="2">
        <v>55</v>
      </c>
      <c r="T4" s="2">
        <v>15</v>
      </c>
      <c r="U4" s="2">
        <v>70</v>
      </c>
      <c r="V4" s="2">
        <v>7</v>
      </c>
      <c r="W4" s="2">
        <v>0</v>
      </c>
      <c r="X4" s="3">
        <v>311.489990234375</v>
      </c>
      <c r="Y4" s="2">
        <v>27</v>
      </c>
      <c r="Z4" s="2">
        <v>0</v>
      </c>
      <c r="AA4" s="2">
        <v>1917</v>
      </c>
      <c r="AB4" s="2">
        <v>0</v>
      </c>
      <c r="AC4" s="2">
        <v>0</v>
      </c>
      <c r="AD4" s="2">
        <v>0</v>
      </c>
      <c r="AE4" s="2">
        <v>0</v>
      </c>
      <c r="AF4" s="2">
        <v>348</v>
      </c>
      <c r="AG4" s="2">
        <v>0</v>
      </c>
      <c r="AH4" s="2">
        <v>0</v>
      </c>
      <c r="AI4" s="2">
        <v>0</v>
      </c>
      <c r="AJ4" s="2">
        <v>45</v>
      </c>
      <c r="AK4" s="2">
        <v>0</v>
      </c>
      <c r="AL4" s="2">
        <v>0</v>
      </c>
      <c r="AM4" s="2">
        <v>0</v>
      </c>
      <c r="AN4" s="3">
        <v>30.468276977539062</v>
      </c>
      <c r="AO4" s="2">
        <v>0</v>
      </c>
      <c r="AP4" s="2">
        <v>0</v>
      </c>
      <c r="AQ4" s="2">
        <v>0</v>
      </c>
      <c r="AR4" s="1" t="s">
        <v>73</v>
      </c>
      <c r="AS4" s="2">
        <v>0</v>
      </c>
      <c r="AT4" s="1" t="s">
        <v>73</v>
      </c>
      <c r="AU4" s="2">
        <v>2310</v>
      </c>
      <c r="AV4" s="2">
        <v>393</v>
      </c>
      <c r="AW4" s="2">
        <v>2310</v>
      </c>
      <c r="AX4" s="2">
        <v>2310</v>
      </c>
      <c r="AY4" s="2">
        <v>2310</v>
      </c>
      <c r="AZ4" s="3">
        <v>153.36000000000001</v>
      </c>
      <c r="BA4" s="3">
        <v>2463.36</v>
      </c>
      <c r="BB4" s="2">
        <v>0</v>
      </c>
      <c r="BC4" s="3">
        <v>443.40480000000002</v>
      </c>
      <c r="BD4" s="3">
        <v>2906.7647999999999</v>
      </c>
      <c r="BE4" s="1"/>
      <c r="BF4" s="1"/>
      <c r="BG4" s="1"/>
      <c r="BH4" s="1"/>
      <c r="BI4" s="1"/>
      <c r="BJ4" s="4">
        <v>45793.130868055552</v>
      </c>
    </row>
    <row r="5" spans="1:62">
      <c r="A5" s="2">
        <v>2025</v>
      </c>
      <c r="B5" s="2">
        <v>5</v>
      </c>
      <c r="C5" s="2">
        <v>2</v>
      </c>
      <c r="D5" s="2">
        <v>756418</v>
      </c>
      <c r="E5" s="1" t="s">
        <v>79</v>
      </c>
      <c r="F5" s="1" t="s">
        <v>63</v>
      </c>
      <c r="G5" s="1" t="s">
        <v>80</v>
      </c>
      <c r="H5" s="1" t="s">
        <v>65</v>
      </c>
      <c r="I5" s="1" t="s">
        <v>81</v>
      </c>
      <c r="J5" s="1" t="s">
        <v>67</v>
      </c>
      <c r="K5" s="1" t="s">
        <v>68</v>
      </c>
      <c r="L5" s="1" t="s">
        <v>69</v>
      </c>
      <c r="M5" s="1" t="s">
        <v>70</v>
      </c>
      <c r="N5" s="1" t="s">
        <v>82</v>
      </c>
      <c r="O5" s="1" t="s">
        <v>72</v>
      </c>
      <c r="P5" s="2">
        <v>82</v>
      </c>
      <c r="Q5" s="2">
        <v>3</v>
      </c>
      <c r="R5" s="2">
        <v>0</v>
      </c>
      <c r="S5" s="2">
        <v>53</v>
      </c>
      <c r="T5" s="2">
        <v>29</v>
      </c>
      <c r="U5" s="2">
        <v>82</v>
      </c>
      <c r="V5" s="2">
        <v>6</v>
      </c>
      <c r="W5" s="2">
        <v>0</v>
      </c>
      <c r="X5" s="3">
        <v>378.8800048828125</v>
      </c>
      <c r="Y5" s="2">
        <v>90</v>
      </c>
      <c r="Z5" s="2">
        <v>0</v>
      </c>
      <c r="AA5" s="2">
        <v>2550</v>
      </c>
      <c r="AB5" s="2">
        <v>0</v>
      </c>
      <c r="AC5" s="2">
        <v>70</v>
      </c>
      <c r="AD5" s="2">
        <v>0</v>
      </c>
      <c r="AE5" s="2">
        <v>0</v>
      </c>
      <c r="AF5" s="2">
        <v>846</v>
      </c>
      <c r="AG5" s="2">
        <v>0</v>
      </c>
      <c r="AH5" s="2">
        <v>0</v>
      </c>
      <c r="AI5" s="2">
        <v>0</v>
      </c>
      <c r="AJ5" s="2">
        <v>90</v>
      </c>
      <c r="AK5" s="2">
        <v>0</v>
      </c>
      <c r="AL5" s="2">
        <v>0</v>
      </c>
      <c r="AM5" s="2">
        <v>0</v>
      </c>
      <c r="AN5" s="3">
        <v>34.842643737792969</v>
      </c>
      <c r="AO5" s="2">
        <v>0</v>
      </c>
      <c r="AP5" s="2">
        <v>0</v>
      </c>
      <c r="AQ5" s="2">
        <v>0</v>
      </c>
      <c r="AR5" s="1" t="s">
        <v>73</v>
      </c>
      <c r="AS5" s="2">
        <v>0</v>
      </c>
      <c r="AT5" s="1" t="s">
        <v>73</v>
      </c>
      <c r="AU5" s="2">
        <v>3556</v>
      </c>
      <c r="AV5" s="2">
        <v>1006</v>
      </c>
      <c r="AW5" s="2">
        <v>3556</v>
      </c>
      <c r="AX5" s="2">
        <v>3556</v>
      </c>
      <c r="AY5" s="2">
        <v>3556</v>
      </c>
      <c r="AZ5" s="3">
        <v>204</v>
      </c>
      <c r="BA5" s="3">
        <v>3760</v>
      </c>
      <c r="BB5" s="2">
        <v>0</v>
      </c>
      <c r="BC5" s="3">
        <v>676.8</v>
      </c>
      <c r="BD5" s="3">
        <v>4436.8</v>
      </c>
      <c r="BE5" s="1"/>
      <c r="BF5" s="1"/>
      <c r="BG5" s="1"/>
      <c r="BH5" s="1"/>
      <c r="BI5" s="1"/>
      <c r="BJ5" s="4">
        <v>45793.130868055552</v>
      </c>
    </row>
    <row r="6" spans="1:62">
      <c r="A6" s="2">
        <v>2025</v>
      </c>
      <c r="B6" s="2">
        <v>5</v>
      </c>
      <c r="C6" s="2">
        <v>2</v>
      </c>
      <c r="D6" s="2">
        <v>756144</v>
      </c>
      <c r="E6" s="1" t="s">
        <v>83</v>
      </c>
      <c r="F6" s="1" t="s">
        <v>63</v>
      </c>
      <c r="G6" s="1" t="s">
        <v>80</v>
      </c>
      <c r="H6" s="1" t="s">
        <v>65</v>
      </c>
      <c r="I6" s="1" t="s">
        <v>84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85</v>
      </c>
      <c r="O6" s="1" t="s">
        <v>72</v>
      </c>
      <c r="P6" s="2">
        <v>192</v>
      </c>
      <c r="Q6" s="2">
        <v>1</v>
      </c>
      <c r="R6" s="2">
        <v>0</v>
      </c>
      <c r="S6" s="2">
        <v>136</v>
      </c>
      <c r="T6" s="2">
        <v>56</v>
      </c>
      <c r="U6" s="2">
        <v>192</v>
      </c>
      <c r="V6" s="2">
        <v>7</v>
      </c>
      <c r="W6" s="2">
        <v>0</v>
      </c>
      <c r="X6" s="3">
        <v>831.78997802734375</v>
      </c>
      <c r="Y6" s="2">
        <v>30</v>
      </c>
      <c r="Z6" s="2">
        <v>0</v>
      </c>
      <c r="AA6" s="2">
        <v>5790</v>
      </c>
      <c r="AB6" s="2">
        <v>0</v>
      </c>
      <c r="AC6" s="2">
        <v>0</v>
      </c>
      <c r="AD6" s="2">
        <v>0</v>
      </c>
      <c r="AE6" s="3">
        <v>609.02001953125</v>
      </c>
      <c r="AF6" s="2">
        <v>2922</v>
      </c>
      <c r="AG6" s="2">
        <v>0</v>
      </c>
      <c r="AH6" s="2">
        <v>0</v>
      </c>
      <c r="AI6" s="2">
        <v>0</v>
      </c>
      <c r="AJ6" s="2">
        <v>174</v>
      </c>
      <c r="AK6" s="2">
        <v>0</v>
      </c>
      <c r="AL6" s="2">
        <v>500</v>
      </c>
      <c r="AM6" s="2">
        <v>0</v>
      </c>
      <c r="AN6" s="2">
        <v>63</v>
      </c>
      <c r="AO6" s="2">
        <v>0</v>
      </c>
      <c r="AP6" s="2">
        <v>0</v>
      </c>
      <c r="AQ6" s="2">
        <v>0</v>
      </c>
      <c r="AR6" s="1" t="s">
        <v>73</v>
      </c>
      <c r="AS6" s="2">
        <v>0</v>
      </c>
      <c r="AT6" s="1" t="s">
        <v>73</v>
      </c>
      <c r="AU6" s="3">
        <v>9995.01953125</v>
      </c>
      <c r="AV6" s="3">
        <v>4205.02001953125</v>
      </c>
      <c r="AW6" s="3">
        <v>9995.01953125</v>
      </c>
      <c r="AX6" s="3">
        <v>9995.01953125</v>
      </c>
      <c r="AY6" s="3">
        <v>9995.01953125</v>
      </c>
      <c r="AZ6" s="3">
        <v>463.2</v>
      </c>
      <c r="BA6" s="3">
        <v>10458.219531250001</v>
      </c>
      <c r="BB6" s="2">
        <v>0</v>
      </c>
      <c r="BC6" s="3">
        <v>1882.479515625</v>
      </c>
      <c r="BD6" s="3">
        <v>12340.699046875001</v>
      </c>
      <c r="BE6" s="1"/>
      <c r="BF6" s="1"/>
      <c r="BG6" s="1"/>
      <c r="BH6" s="1"/>
      <c r="BI6" s="1"/>
      <c r="BJ6" s="4">
        <v>45793.130868055552</v>
      </c>
    </row>
    <row r="7" spans="1:62">
      <c r="A7" s="2">
        <v>2025</v>
      </c>
      <c r="B7" s="2">
        <v>5</v>
      </c>
      <c r="C7" s="2">
        <v>2</v>
      </c>
      <c r="D7" s="2">
        <v>744645</v>
      </c>
      <c r="E7" s="1" t="s">
        <v>86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  <c r="M7" s="1" t="s">
        <v>70</v>
      </c>
      <c r="N7" s="1" t="s">
        <v>71</v>
      </c>
      <c r="O7" s="1" t="s">
        <v>72</v>
      </c>
      <c r="P7" s="2">
        <v>18</v>
      </c>
      <c r="Q7" s="2">
        <v>1</v>
      </c>
      <c r="R7" s="2">
        <v>0</v>
      </c>
      <c r="S7" s="2">
        <v>9</v>
      </c>
      <c r="T7" s="2">
        <v>9</v>
      </c>
      <c r="U7" s="2">
        <v>18</v>
      </c>
      <c r="V7" s="2">
        <v>3</v>
      </c>
      <c r="W7" s="2">
        <v>0</v>
      </c>
      <c r="X7" s="3">
        <v>93.230003356933594</v>
      </c>
      <c r="Y7" s="2">
        <v>27</v>
      </c>
      <c r="Z7" s="2">
        <v>0</v>
      </c>
      <c r="AA7" s="2">
        <v>513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30</v>
      </c>
      <c r="AK7" s="2">
        <v>0</v>
      </c>
      <c r="AL7" s="2">
        <v>0</v>
      </c>
      <c r="AM7" s="2">
        <v>0</v>
      </c>
      <c r="AN7" s="3">
        <v>8.7140226364135742</v>
      </c>
      <c r="AO7" s="2">
        <v>0</v>
      </c>
      <c r="AP7" s="2">
        <v>0</v>
      </c>
      <c r="AQ7" s="2">
        <v>0</v>
      </c>
      <c r="AR7" s="1" t="s">
        <v>73</v>
      </c>
      <c r="AS7" s="2">
        <v>0</v>
      </c>
      <c r="AT7" s="1" t="s">
        <v>73</v>
      </c>
      <c r="AU7" s="2">
        <v>543</v>
      </c>
      <c r="AV7" s="2">
        <v>30</v>
      </c>
      <c r="AW7" s="2">
        <v>543</v>
      </c>
      <c r="AX7" s="2">
        <v>543</v>
      </c>
      <c r="AY7" s="2">
        <v>543</v>
      </c>
      <c r="AZ7" s="3">
        <v>41.04</v>
      </c>
      <c r="BA7" s="3">
        <v>584.04</v>
      </c>
      <c r="BB7" s="2">
        <v>0</v>
      </c>
      <c r="BC7" s="3">
        <v>105.12719999999999</v>
      </c>
      <c r="BD7" s="3">
        <v>689.16719999999998</v>
      </c>
      <c r="BE7" s="1"/>
      <c r="BF7" s="1"/>
      <c r="BG7" s="1"/>
      <c r="BH7" s="1"/>
      <c r="BI7" s="1"/>
      <c r="BJ7" s="4">
        <v>45793.130868055552</v>
      </c>
    </row>
    <row r="8" spans="1:62">
      <c r="A8" s="2">
        <v>2025</v>
      </c>
      <c r="B8" s="2">
        <v>5</v>
      </c>
      <c r="C8" s="2">
        <v>2</v>
      </c>
      <c r="D8" s="2">
        <v>784832</v>
      </c>
      <c r="E8" s="1" t="s">
        <v>87</v>
      </c>
      <c r="F8" s="1" t="s">
        <v>63</v>
      </c>
      <c r="G8" s="1" t="s">
        <v>80</v>
      </c>
      <c r="H8" s="1" t="s">
        <v>65</v>
      </c>
      <c r="I8" s="1" t="s">
        <v>66</v>
      </c>
      <c r="J8" s="1" t="s">
        <v>67</v>
      </c>
      <c r="K8" s="1" t="s">
        <v>68</v>
      </c>
      <c r="L8" s="1" t="s">
        <v>69</v>
      </c>
      <c r="M8" s="1" t="s">
        <v>70</v>
      </c>
      <c r="N8" s="1" t="s">
        <v>88</v>
      </c>
      <c r="O8" s="1" t="s">
        <v>72</v>
      </c>
      <c r="P8" s="2">
        <v>142</v>
      </c>
      <c r="Q8" s="2">
        <v>0</v>
      </c>
      <c r="R8" s="2">
        <v>0</v>
      </c>
      <c r="S8" s="2">
        <v>97</v>
      </c>
      <c r="T8" s="2">
        <v>45</v>
      </c>
      <c r="U8" s="2">
        <v>142</v>
      </c>
      <c r="V8" s="2">
        <v>7</v>
      </c>
      <c r="W8" s="2">
        <v>0</v>
      </c>
      <c r="X8" s="3">
        <v>649.02001953125</v>
      </c>
      <c r="Y8" s="2">
        <v>0</v>
      </c>
      <c r="Z8" s="2">
        <v>0</v>
      </c>
      <c r="AA8" s="2">
        <v>4260</v>
      </c>
      <c r="AB8" s="2">
        <v>0</v>
      </c>
      <c r="AC8" s="2">
        <v>0</v>
      </c>
      <c r="AD8" s="2">
        <v>0</v>
      </c>
      <c r="AE8" s="2">
        <v>0</v>
      </c>
      <c r="AF8" s="2">
        <v>1928</v>
      </c>
      <c r="AG8" s="2">
        <v>0</v>
      </c>
      <c r="AH8" s="2">
        <v>0</v>
      </c>
      <c r="AI8" s="2">
        <v>50</v>
      </c>
      <c r="AJ8" s="2">
        <v>135</v>
      </c>
      <c r="AK8" s="2">
        <v>0</v>
      </c>
      <c r="AL8" s="2">
        <v>250</v>
      </c>
      <c r="AM8" s="2">
        <v>0</v>
      </c>
      <c r="AN8" s="3">
        <v>61.444000244140625</v>
      </c>
      <c r="AO8" s="2">
        <v>0</v>
      </c>
      <c r="AP8" s="2">
        <v>0</v>
      </c>
      <c r="AQ8" s="2">
        <v>0</v>
      </c>
      <c r="AR8" s="1" t="s">
        <v>73</v>
      </c>
      <c r="AS8" s="2">
        <v>0</v>
      </c>
      <c r="AT8" s="1" t="s">
        <v>73</v>
      </c>
      <c r="AU8" s="2">
        <v>6623</v>
      </c>
      <c r="AV8" s="2">
        <v>2363</v>
      </c>
      <c r="AW8" s="2">
        <v>6623</v>
      </c>
      <c r="AX8" s="2">
        <v>6623</v>
      </c>
      <c r="AY8" s="2">
        <v>6623</v>
      </c>
      <c r="AZ8" s="3">
        <v>340.8</v>
      </c>
      <c r="BA8" s="3">
        <v>6963.8</v>
      </c>
      <c r="BB8" s="2">
        <v>0</v>
      </c>
      <c r="BC8" s="3">
        <v>1253.4839999999999</v>
      </c>
      <c r="BD8" s="3">
        <v>8217.2839999999997</v>
      </c>
      <c r="BE8" s="1" t="s">
        <v>89</v>
      </c>
      <c r="BF8" s="1" t="s">
        <v>90</v>
      </c>
      <c r="BG8" s="1" t="s">
        <v>91</v>
      </c>
      <c r="BH8" s="1" t="s">
        <v>92</v>
      </c>
      <c r="BI8" s="5">
        <v>45782</v>
      </c>
      <c r="BJ8" s="4">
        <v>45793.130868055552</v>
      </c>
    </row>
    <row r="9" spans="1:62">
      <c r="A9" s="2">
        <v>2025</v>
      </c>
      <c r="B9" s="2">
        <v>5</v>
      </c>
      <c r="C9" s="2">
        <v>2</v>
      </c>
      <c r="D9" s="2">
        <v>780996</v>
      </c>
      <c r="E9" s="1" t="s">
        <v>93</v>
      </c>
      <c r="F9" s="1" t="s">
        <v>63</v>
      </c>
      <c r="G9" s="1" t="s">
        <v>64</v>
      </c>
      <c r="H9" s="1" t="s">
        <v>65</v>
      </c>
      <c r="I9" s="1" t="s">
        <v>94</v>
      </c>
      <c r="J9" s="1" t="s">
        <v>67</v>
      </c>
      <c r="K9" s="1" t="s">
        <v>68</v>
      </c>
      <c r="L9" s="1" t="s">
        <v>69</v>
      </c>
      <c r="M9" s="1" t="s">
        <v>70</v>
      </c>
      <c r="N9" s="1" t="s">
        <v>95</v>
      </c>
      <c r="O9" s="1" t="s">
        <v>72</v>
      </c>
      <c r="P9" s="2">
        <v>16</v>
      </c>
      <c r="Q9" s="2">
        <v>0</v>
      </c>
      <c r="R9" s="2">
        <v>0</v>
      </c>
      <c r="S9" s="2">
        <v>16</v>
      </c>
      <c r="T9" s="2">
        <v>0</v>
      </c>
      <c r="U9" s="2">
        <v>16</v>
      </c>
      <c r="V9" s="2">
        <v>3</v>
      </c>
      <c r="W9" s="2">
        <v>0</v>
      </c>
      <c r="X9" s="3">
        <v>58.529998779296875</v>
      </c>
      <c r="Y9" s="2">
        <v>0</v>
      </c>
      <c r="Z9" s="2">
        <v>0</v>
      </c>
      <c r="AA9" s="2">
        <v>432</v>
      </c>
      <c r="AB9" s="2">
        <v>0</v>
      </c>
      <c r="AC9" s="2">
        <v>65</v>
      </c>
      <c r="AD9" s="2">
        <v>0</v>
      </c>
      <c r="AE9" s="3">
        <v>9.6000003814697266</v>
      </c>
      <c r="AF9" s="2">
        <v>55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3">
        <v>7.6686110496520996</v>
      </c>
      <c r="AO9" s="2">
        <v>0</v>
      </c>
      <c r="AP9" s="2">
        <v>0</v>
      </c>
      <c r="AQ9" s="2">
        <v>0</v>
      </c>
      <c r="AR9" s="1" t="s">
        <v>73</v>
      </c>
      <c r="AS9" s="2">
        <v>32</v>
      </c>
      <c r="AT9" s="1" t="s">
        <v>77</v>
      </c>
      <c r="AU9" s="3">
        <v>561.5999755859375</v>
      </c>
      <c r="AV9" s="3">
        <v>129.60000610351562</v>
      </c>
      <c r="AW9" s="3">
        <v>561.5999755859375</v>
      </c>
      <c r="AX9" s="3">
        <v>561.5999755859375</v>
      </c>
      <c r="AY9" s="3">
        <v>529.5999755859375</v>
      </c>
      <c r="AZ9" s="3">
        <v>34.56</v>
      </c>
      <c r="BA9" s="3">
        <v>564.15997558593745</v>
      </c>
      <c r="BB9" s="2">
        <v>0</v>
      </c>
      <c r="BC9" s="3">
        <v>101.54879560546874</v>
      </c>
      <c r="BD9" s="3">
        <v>665.70877119140619</v>
      </c>
      <c r="BE9" s="1" t="s">
        <v>96</v>
      </c>
      <c r="BF9" s="1" t="s">
        <v>97</v>
      </c>
      <c r="BG9" s="1" t="s">
        <v>98</v>
      </c>
      <c r="BH9" s="1" t="s">
        <v>99</v>
      </c>
      <c r="BI9" s="5">
        <v>45772</v>
      </c>
      <c r="BJ9" s="4">
        <v>45793.130868055552</v>
      </c>
    </row>
    <row r="10" spans="1:62">
      <c r="A10" s="2">
        <v>2025</v>
      </c>
      <c r="B10" s="2">
        <v>5</v>
      </c>
      <c r="C10" s="2">
        <v>2</v>
      </c>
      <c r="D10" s="2">
        <v>746897</v>
      </c>
      <c r="E10" s="1" t="s">
        <v>100</v>
      </c>
      <c r="F10" s="1" t="s">
        <v>63</v>
      </c>
      <c r="G10" s="1" t="s">
        <v>80</v>
      </c>
      <c r="H10" s="1" t="s">
        <v>65</v>
      </c>
      <c r="I10" s="1" t="s">
        <v>66</v>
      </c>
      <c r="J10" s="1" t="s">
        <v>67</v>
      </c>
      <c r="K10" s="1" t="s">
        <v>68</v>
      </c>
      <c r="L10" s="1" t="s">
        <v>69</v>
      </c>
      <c r="M10" s="1" t="s">
        <v>70</v>
      </c>
      <c r="N10" s="1" t="s">
        <v>88</v>
      </c>
      <c r="O10" s="1" t="s">
        <v>72</v>
      </c>
      <c r="P10" s="2">
        <v>19</v>
      </c>
      <c r="Q10" s="2">
        <v>1</v>
      </c>
      <c r="R10" s="2">
        <v>0</v>
      </c>
      <c r="S10" s="2">
        <v>9</v>
      </c>
      <c r="T10" s="2">
        <v>10</v>
      </c>
      <c r="U10" s="2">
        <v>19</v>
      </c>
      <c r="V10" s="2">
        <v>2</v>
      </c>
      <c r="W10" s="2">
        <v>0</v>
      </c>
      <c r="X10" s="3">
        <v>99.160003662109375</v>
      </c>
      <c r="Y10" s="2">
        <v>30</v>
      </c>
      <c r="Z10" s="2">
        <v>0</v>
      </c>
      <c r="AA10" s="2">
        <v>600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30</v>
      </c>
      <c r="AK10" s="2">
        <v>0</v>
      </c>
      <c r="AL10" s="2">
        <v>0</v>
      </c>
      <c r="AM10" s="2">
        <v>0</v>
      </c>
      <c r="AN10" s="3">
        <v>9.2618217468261719</v>
      </c>
      <c r="AO10" s="2">
        <v>0</v>
      </c>
      <c r="AP10" s="2">
        <v>0</v>
      </c>
      <c r="AQ10" s="2">
        <v>0</v>
      </c>
      <c r="AR10" s="1" t="s">
        <v>73</v>
      </c>
      <c r="AS10" s="2">
        <v>0</v>
      </c>
      <c r="AT10" s="1" t="s">
        <v>73</v>
      </c>
      <c r="AU10" s="2">
        <v>630</v>
      </c>
      <c r="AV10" s="2">
        <v>30</v>
      </c>
      <c r="AW10" s="2">
        <v>630</v>
      </c>
      <c r="AX10" s="2">
        <v>630</v>
      </c>
      <c r="AY10" s="2">
        <v>630</v>
      </c>
      <c r="AZ10" s="3">
        <v>48</v>
      </c>
      <c r="BA10" s="3">
        <v>678</v>
      </c>
      <c r="BB10" s="2">
        <v>0</v>
      </c>
      <c r="BC10" s="3">
        <v>122.03999999999999</v>
      </c>
      <c r="BD10" s="3">
        <v>800.04</v>
      </c>
      <c r="BE10" s="1"/>
      <c r="BF10" s="1"/>
      <c r="BG10" s="1"/>
      <c r="BH10" s="1"/>
      <c r="BI10" s="1"/>
      <c r="BJ10" s="4">
        <v>45793.130868055552</v>
      </c>
    </row>
    <row r="11" spans="1:62">
      <c r="A11" s="2">
        <v>2025</v>
      </c>
      <c r="B11" s="2">
        <v>5</v>
      </c>
      <c r="C11" s="2">
        <v>2</v>
      </c>
      <c r="D11" s="2">
        <v>785895</v>
      </c>
      <c r="E11" s="1" t="s">
        <v>101</v>
      </c>
      <c r="F11" s="1" t="s">
        <v>63</v>
      </c>
      <c r="G11" s="1" t="s">
        <v>102</v>
      </c>
      <c r="H11" s="1" t="s">
        <v>65</v>
      </c>
      <c r="I11" s="1" t="s">
        <v>66</v>
      </c>
      <c r="J11" s="1" t="s">
        <v>67</v>
      </c>
      <c r="K11" s="1" t="s">
        <v>68</v>
      </c>
      <c r="L11" s="1" t="s">
        <v>69</v>
      </c>
      <c r="M11" s="1" t="s">
        <v>70</v>
      </c>
      <c r="N11" s="1" t="s">
        <v>71</v>
      </c>
      <c r="O11" s="1" t="s">
        <v>72</v>
      </c>
      <c r="P11" s="2">
        <v>29</v>
      </c>
      <c r="Q11" s="2">
        <v>0</v>
      </c>
      <c r="R11" s="2">
        <v>0</v>
      </c>
      <c r="S11" s="2">
        <v>29</v>
      </c>
      <c r="T11" s="2">
        <v>0</v>
      </c>
      <c r="U11" s="2">
        <v>29</v>
      </c>
      <c r="V11" s="2">
        <v>2</v>
      </c>
      <c r="W11" s="2">
        <v>0</v>
      </c>
      <c r="X11" s="3">
        <v>120.65000152587891</v>
      </c>
      <c r="Y11" s="2">
        <v>0</v>
      </c>
      <c r="Z11" s="2">
        <v>0</v>
      </c>
      <c r="AA11" s="2">
        <v>783</v>
      </c>
      <c r="AB11" s="2">
        <v>0</v>
      </c>
      <c r="AC11" s="2">
        <v>0</v>
      </c>
      <c r="AD11" s="2">
        <v>0</v>
      </c>
      <c r="AE11" s="2">
        <v>0</v>
      </c>
      <c r="AF11" s="2">
        <v>299</v>
      </c>
      <c r="AG11" s="2">
        <v>0</v>
      </c>
      <c r="AH11" s="2">
        <v>0</v>
      </c>
      <c r="AI11" s="2">
        <v>30</v>
      </c>
      <c r="AJ11" s="2">
        <v>0</v>
      </c>
      <c r="AK11" s="2">
        <v>0</v>
      </c>
      <c r="AL11" s="2">
        <v>0</v>
      </c>
      <c r="AM11" s="2">
        <v>0</v>
      </c>
      <c r="AN11" s="3">
        <v>12.854922294616699</v>
      </c>
      <c r="AO11" s="2">
        <v>0</v>
      </c>
      <c r="AP11" s="2">
        <v>0</v>
      </c>
      <c r="AQ11" s="2">
        <v>0</v>
      </c>
      <c r="AR11" s="1" t="s">
        <v>73</v>
      </c>
      <c r="AS11" s="2">
        <v>0</v>
      </c>
      <c r="AT11" s="1" t="s">
        <v>73</v>
      </c>
      <c r="AU11" s="2">
        <v>1112</v>
      </c>
      <c r="AV11" s="2">
        <v>329</v>
      </c>
      <c r="AW11" s="2">
        <v>1112</v>
      </c>
      <c r="AX11" s="2">
        <v>1112</v>
      </c>
      <c r="AY11" s="2">
        <v>1112</v>
      </c>
      <c r="AZ11" s="3">
        <v>62.64</v>
      </c>
      <c r="BA11" s="3">
        <v>1174.6400000000001</v>
      </c>
      <c r="BB11" s="2">
        <v>0</v>
      </c>
      <c r="BC11" s="3">
        <v>211.43520000000001</v>
      </c>
      <c r="BD11" s="3">
        <v>1386.0752000000002</v>
      </c>
      <c r="BE11" s="1" t="s">
        <v>103</v>
      </c>
      <c r="BF11" s="1" t="s">
        <v>104</v>
      </c>
      <c r="BG11" s="1" t="s">
        <v>105</v>
      </c>
      <c r="BH11" s="1" t="s">
        <v>106</v>
      </c>
      <c r="BI11" s="5">
        <v>45784</v>
      </c>
      <c r="BJ11" s="4">
        <v>45793.130868055552</v>
      </c>
    </row>
    <row r="12" spans="1:62">
      <c r="A12" s="2">
        <v>2025</v>
      </c>
      <c r="B12" s="2">
        <v>5</v>
      </c>
      <c r="C12" s="2">
        <v>2</v>
      </c>
      <c r="D12" s="2">
        <v>784299</v>
      </c>
      <c r="E12" s="1" t="s">
        <v>107</v>
      </c>
      <c r="F12" s="1" t="s">
        <v>63</v>
      </c>
      <c r="G12" s="1" t="s">
        <v>80</v>
      </c>
      <c r="H12" s="1" t="s">
        <v>65</v>
      </c>
      <c r="I12" s="1" t="s">
        <v>108</v>
      </c>
      <c r="J12" s="1" t="s">
        <v>67</v>
      </c>
      <c r="K12" s="1" t="s">
        <v>68</v>
      </c>
      <c r="L12" s="1" t="s">
        <v>69</v>
      </c>
      <c r="M12" s="1" t="s">
        <v>70</v>
      </c>
      <c r="N12" s="1" t="s">
        <v>109</v>
      </c>
      <c r="O12" s="1" t="s">
        <v>72</v>
      </c>
      <c r="P12" s="2">
        <v>101</v>
      </c>
      <c r="Q12" s="2">
        <v>0</v>
      </c>
      <c r="R12" s="2">
        <v>0</v>
      </c>
      <c r="S12" s="2">
        <v>65</v>
      </c>
      <c r="T12" s="2">
        <v>36</v>
      </c>
      <c r="U12" s="2">
        <v>101</v>
      </c>
      <c r="V12" s="2">
        <v>5</v>
      </c>
      <c r="W12" s="2">
        <v>0</v>
      </c>
      <c r="X12" s="3">
        <v>484.239990234375</v>
      </c>
      <c r="Y12" s="2">
        <v>0</v>
      </c>
      <c r="Z12" s="2">
        <v>0</v>
      </c>
      <c r="AA12" s="2">
        <v>3030</v>
      </c>
      <c r="AB12" s="2">
        <v>0</v>
      </c>
      <c r="AC12" s="2">
        <v>0</v>
      </c>
      <c r="AD12" s="2">
        <v>0</v>
      </c>
      <c r="AE12" s="2">
        <v>0</v>
      </c>
      <c r="AF12" s="2">
        <v>1463</v>
      </c>
      <c r="AG12" s="2">
        <v>0</v>
      </c>
      <c r="AH12" s="2">
        <v>0</v>
      </c>
      <c r="AI12" s="2">
        <v>0</v>
      </c>
      <c r="AJ12" s="2">
        <v>108</v>
      </c>
      <c r="AK12" s="2">
        <v>0</v>
      </c>
      <c r="AL12" s="2">
        <v>0</v>
      </c>
      <c r="AM12" s="2">
        <v>0</v>
      </c>
      <c r="AN12" s="3">
        <v>37.185222625732422</v>
      </c>
      <c r="AO12" s="2">
        <v>0</v>
      </c>
      <c r="AP12" s="2">
        <v>0</v>
      </c>
      <c r="AQ12" s="2">
        <v>0</v>
      </c>
      <c r="AR12" s="1" t="s">
        <v>73</v>
      </c>
      <c r="AS12" s="2">
        <v>140</v>
      </c>
      <c r="AT12" s="1" t="s">
        <v>110</v>
      </c>
      <c r="AU12" s="2">
        <v>4601</v>
      </c>
      <c r="AV12" s="2">
        <v>1571</v>
      </c>
      <c r="AW12" s="2">
        <v>4601</v>
      </c>
      <c r="AX12" s="2">
        <v>4601</v>
      </c>
      <c r="AY12" s="2">
        <v>4461</v>
      </c>
      <c r="AZ12" s="3">
        <v>242.4</v>
      </c>
      <c r="BA12" s="3">
        <v>4703.3999999999996</v>
      </c>
      <c r="BB12" s="2">
        <v>0</v>
      </c>
      <c r="BC12" s="3">
        <v>846.61199999999985</v>
      </c>
      <c r="BD12" s="3">
        <v>5550.0119999999997</v>
      </c>
      <c r="BE12" s="1" t="s">
        <v>111</v>
      </c>
      <c r="BF12" s="1" t="s">
        <v>112</v>
      </c>
      <c r="BG12" s="1" t="s">
        <v>113</v>
      </c>
      <c r="BH12" s="1" t="s">
        <v>114</v>
      </c>
      <c r="BI12" s="5">
        <v>45780</v>
      </c>
      <c r="BJ12" s="4">
        <v>45793.130868055552</v>
      </c>
    </row>
    <row r="13" spans="1:62">
      <c r="A13" s="2">
        <v>2025</v>
      </c>
      <c r="B13" s="2">
        <v>5</v>
      </c>
      <c r="C13" s="2">
        <v>2</v>
      </c>
      <c r="D13" s="2">
        <v>735193</v>
      </c>
      <c r="E13" s="1" t="s">
        <v>115</v>
      </c>
      <c r="F13" s="1" t="s">
        <v>63</v>
      </c>
      <c r="G13" s="1" t="s">
        <v>64</v>
      </c>
      <c r="H13" s="1" t="s">
        <v>65</v>
      </c>
      <c r="I13" s="1" t="s">
        <v>66</v>
      </c>
      <c r="J13" s="1" t="s">
        <v>67</v>
      </c>
      <c r="K13" s="1" t="s">
        <v>68</v>
      </c>
      <c r="L13" s="1" t="s">
        <v>69</v>
      </c>
      <c r="M13" s="1" t="s">
        <v>70</v>
      </c>
      <c r="N13" s="1" t="s">
        <v>71</v>
      </c>
      <c r="O13" s="1" t="s">
        <v>72</v>
      </c>
      <c r="P13" s="2">
        <v>60</v>
      </c>
      <c r="Q13" s="2">
        <v>1</v>
      </c>
      <c r="R13" s="2">
        <v>0</v>
      </c>
      <c r="S13" s="2">
        <v>45</v>
      </c>
      <c r="T13" s="2">
        <v>15</v>
      </c>
      <c r="U13" s="2">
        <v>60</v>
      </c>
      <c r="V13" s="2">
        <v>6</v>
      </c>
      <c r="W13" s="2">
        <v>0</v>
      </c>
      <c r="X13" s="3">
        <v>282.60000610351562</v>
      </c>
      <c r="Y13" s="2">
        <v>27</v>
      </c>
      <c r="Z13" s="2">
        <v>0</v>
      </c>
      <c r="AA13" s="2">
        <v>1647</v>
      </c>
      <c r="AB13" s="2">
        <v>0</v>
      </c>
      <c r="AC13" s="2">
        <v>0</v>
      </c>
      <c r="AD13" s="2">
        <v>0</v>
      </c>
      <c r="AE13" s="2">
        <v>0</v>
      </c>
      <c r="AF13" s="2">
        <v>539</v>
      </c>
      <c r="AG13" s="2">
        <v>0</v>
      </c>
      <c r="AH13" s="2">
        <v>0</v>
      </c>
      <c r="AI13" s="2">
        <v>0</v>
      </c>
      <c r="AJ13" s="2">
        <v>45</v>
      </c>
      <c r="AK13" s="2">
        <v>0</v>
      </c>
      <c r="AL13" s="2">
        <v>0</v>
      </c>
      <c r="AM13" s="2">
        <v>0</v>
      </c>
      <c r="AN13" s="3">
        <v>29.132932662963867</v>
      </c>
      <c r="AO13" s="2">
        <v>0</v>
      </c>
      <c r="AP13" s="2">
        <v>0</v>
      </c>
      <c r="AQ13" s="2">
        <v>0</v>
      </c>
      <c r="AR13" s="1" t="s">
        <v>73</v>
      </c>
      <c r="AS13" s="2">
        <v>0</v>
      </c>
      <c r="AT13" s="1" t="s">
        <v>73</v>
      </c>
      <c r="AU13" s="2">
        <v>2231</v>
      </c>
      <c r="AV13" s="2">
        <v>584</v>
      </c>
      <c r="AW13" s="2">
        <v>2231</v>
      </c>
      <c r="AX13" s="2">
        <v>2231</v>
      </c>
      <c r="AY13" s="2">
        <v>2231</v>
      </c>
      <c r="AZ13" s="3">
        <v>131.76</v>
      </c>
      <c r="BA13" s="3">
        <v>2362.7600000000002</v>
      </c>
      <c r="BB13" s="2">
        <v>0</v>
      </c>
      <c r="BC13" s="3">
        <v>425.29680000000002</v>
      </c>
      <c r="BD13" s="3">
        <v>2788.0568000000003</v>
      </c>
      <c r="BE13" s="1"/>
      <c r="BF13" s="1"/>
      <c r="BG13" s="1"/>
      <c r="BH13" s="1"/>
      <c r="BI13" s="1"/>
      <c r="BJ13" s="4">
        <v>45793.130868055552</v>
      </c>
    </row>
    <row r="14" spans="1:62">
      <c r="A14" s="2">
        <v>2025</v>
      </c>
      <c r="B14" s="2">
        <v>5</v>
      </c>
      <c r="C14" s="2">
        <v>2</v>
      </c>
      <c r="D14" s="2">
        <v>754658</v>
      </c>
      <c r="E14" s="1" t="s">
        <v>116</v>
      </c>
      <c r="F14" s="1" t="s">
        <v>63</v>
      </c>
      <c r="G14" s="1" t="s">
        <v>64</v>
      </c>
      <c r="H14" s="1" t="s">
        <v>65</v>
      </c>
      <c r="I14" s="1" t="s">
        <v>117</v>
      </c>
      <c r="J14" s="1" t="s">
        <v>67</v>
      </c>
      <c r="K14" s="1" t="s">
        <v>68</v>
      </c>
      <c r="L14" s="1" t="s">
        <v>69</v>
      </c>
      <c r="M14" s="1" t="s">
        <v>70</v>
      </c>
      <c r="N14" s="1" t="s">
        <v>118</v>
      </c>
      <c r="O14" s="1" t="s">
        <v>72</v>
      </c>
      <c r="P14" s="2">
        <v>12</v>
      </c>
      <c r="Q14" s="2">
        <v>0</v>
      </c>
      <c r="R14" s="2">
        <v>0</v>
      </c>
      <c r="S14" s="2">
        <v>0</v>
      </c>
      <c r="T14" s="2">
        <v>12</v>
      </c>
      <c r="U14" s="2">
        <v>12</v>
      </c>
      <c r="V14" s="2">
        <v>1</v>
      </c>
      <c r="W14" s="2">
        <v>0</v>
      </c>
      <c r="X14" s="3">
        <v>50.270000457763672</v>
      </c>
      <c r="Y14" s="2">
        <v>0</v>
      </c>
      <c r="Z14" s="2">
        <v>0</v>
      </c>
      <c r="AA14" s="2">
        <v>324</v>
      </c>
      <c r="AB14" s="2">
        <v>0</v>
      </c>
      <c r="AC14" s="2">
        <v>0</v>
      </c>
      <c r="AD14" s="2">
        <v>0</v>
      </c>
      <c r="AE14" s="2">
        <v>0</v>
      </c>
      <c r="AF14" s="2">
        <v>60</v>
      </c>
      <c r="AG14" s="2">
        <v>0</v>
      </c>
      <c r="AH14" s="2">
        <v>0</v>
      </c>
      <c r="AI14" s="2">
        <v>0</v>
      </c>
      <c r="AJ14" s="2">
        <v>36</v>
      </c>
      <c r="AK14" s="2">
        <v>0</v>
      </c>
      <c r="AL14" s="2">
        <v>0</v>
      </c>
      <c r="AM14" s="2">
        <v>0</v>
      </c>
      <c r="AN14" s="3">
        <v>5.058499813079834</v>
      </c>
      <c r="AO14" s="2">
        <v>0</v>
      </c>
      <c r="AP14" s="2">
        <v>0</v>
      </c>
      <c r="AQ14" s="2">
        <v>0</v>
      </c>
      <c r="AR14" s="1" t="s">
        <v>73</v>
      </c>
      <c r="AS14" s="2">
        <v>0</v>
      </c>
      <c r="AT14" s="1" t="s">
        <v>73</v>
      </c>
      <c r="AU14" s="2">
        <v>420</v>
      </c>
      <c r="AV14" s="2">
        <v>96</v>
      </c>
      <c r="AW14" s="2">
        <v>420</v>
      </c>
      <c r="AX14" s="2">
        <v>420</v>
      </c>
      <c r="AY14" s="2">
        <v>420</v>
      </c>
      <c r="AZ14" s="3">
        <v>25.92</v>
      </c>
      <c r="BA14" s="3">
        <v>445.92</v>
      </c>
      <c r="BB14" s="2">
        <v>0</v>
      </c>
      <c r="BC14" s="3">
        <v>80.265600000000006</v>
      </c>
      <c r="BD14" s="3">
        <v>526.18560000000002</v>
      </c>
      <c r="BE14" s="1"/>
      <c r="BF14" s="1"/>
      <c r="BG14" s="1"/>
      <c r="BH14" s="1"/>
      <c r="BI14" s="1"/>
      <c r="BJ14" s="4">
        <v>45793.130868055552</v>
      </c>
    </row>
    <row r="15" spans="1:62">
      <c r="A15" s="2">
        <v>2025</v>
      </c>
      <c r="B15" s="2">
        <v>5</v>
      </c>
      <c r="C15" s="2">
        <v>2</v>
      </c>
      <c r="D15" s="2">
        <v>738700</v>
      </c>
      <c r="E15" s="1" t="s">
        <v>119</v>
      </c>
      <c r="F15" s="1" t="s">
        <v>63</v>
      </c>
      <c r="G15" s="1" t="s">
        <v>80</v>
      </c>
      <c r="H15" s="1" t="s">
        <v>65</v>
      </c>
      <c r="I15" s="1" t="s">
        <v>75</v>
      </c>
      <c r="J15" s="1" t="s">
        <v>67</v>
      </c>
      <c r="K15" s="1" t="s">
        <v>68</v>
      </c>
      <c r="L15" s="1" t="s">
        <v>69</v>
      </c>
      <c r="M15" s="1" t="s">
        <v>70</v>
      </c>
      <c r="N15" s="1" t="s">
        <v>120</v>
      </c>
      <c r="O15" s="1" t="s">
        <v>72</v>
      </c>
      <c r="P15" s="2">
        <v>215</v>
      </c>
      <c r="Q15" s="2">
        <v>7</v>
      </c>
      <c r="R15" s="2">
        <v>0</v>
      </c>
      <c r="S15" s="2">
        <v>134</v>
      </c>
      <c r="T15" s="2">
        <v>81</v>
      </c>
      <c r="U15" s="2">
        <v>215</v>
      </c>
      <c r="V15" s="2">
        <v>6</v>
      </c>
      <c r="W15" s="2">
        <v>0</v>
      </c>
      <c r="X15" s="3">
        <v>1010.6599731445312</v>
      </c>
      <c r="Y15" s="2">
        <v>210</v>
      </c>
      <c r="Z15" s="2">
        <v>0</v>
      </c>
      <c r="AA15" s="2">
        <v>6660</v>
      </c>
      <c r="AB15" s="2">
        <v>0</v>
      </c>
      <c r="AC15" s="2">
        <v>445</v>
      </c>
      <c r="AD15" s="2">
        <v>0</v>
      </c>
      <c r="AE15" s="2">
        <v>0</v>
      </c>
      <c r="AF15" s="2">
        <v>3578</v>
      </c>
      <c r="AG15" s="2">
        <v>0</v>
      </c>
      <c r="AH15" s="2">
        <v>0</v>
      </c>
      <c r="AI15" s="2">
        <v>0</v>
      </c>
      <c r="AJ15" s="2">
        <v>249</v>
      </c>
      <c r="AK15" s="2">
        <v>0</v>
      </c>
      <c r="AL15" s="2">
        <v>250</v>
      </c>
      <c r="AM15" s="2">
        <v>0</v>
      </c>
      <c r="AN15" s="3">
        <v>49.756668090820313</v>
      </c>
      <c r="AO15" s="2">
        <v>0</v>
      </c>
      <c r="AP15" s="2">
        <v>0</v>
      </c>
      <c r="AQ15" s="2">
        <v>0</v>
      </c>
      <c r="AR15" s="1" t="s">
        <v>73</v>
      </c>
      <c r="AS15" s="2">
        <v>43</v>
      </c>
      <c r="AT15" s="1" t="s">
        <v>121</v>
      </c>
      <c r="AU15" s="2">
        <v>11182</v>
      </c>
      <c r="AV15" s="2">
        <v>4522</v>
      </c>
      <c r="AW15" s="2">
        <v>11182</v>
      </c>
      <c r="AX15" s="2">
        <v>11182</v>
      </c>
      <c r="AY15" s="2">
        <v>11139</v>
      </c>
      <c r="AZ15" s="3">
        <v>532.79999999999995</v>
      </c>
      <c r="BA15" s="3">
        <v>11671.8</v>
      </c>
      <c r="BB15" s="2">
        <v>0</v>
      </c>
      <c r="BC15" s="3">
        <v>2100.924</v>
      </c>
      <c r="BD15" s="3">
        <v>13772.723999999998</v>
      </c>
      <c r="BE15" s="1"/>
      <c r="BF15" s="1"/>
      <c r="BG15" s="1"/>
      <c r="BH15" s="1"/>
      <c r="BI15" s="5">
        <v>45645</v>
      </c>
      <c r="BJ15" s="4">
        <v>45793.130868055552</v>
      </c>
    </row>
    <row r="16" spans="1:62">
      <c r="A16" s="2">
        <v>2025</v>
      </c>
      <c r="B16" s="2">
        <v>5</v>
      </c>
      <c r="C16" s="2">
        <v>2</v>
      </c>
      <c r="D16" s="2">
        <v>763173</v>
      </c>
      <c r="E16" s="1" t="s">
        <v>122</v>
      </c>
      <c r="F16" s="1" t="s">
        <v>63</v>
      </c>
      <c r="G16" s="1" t="s">
        <v>64</v>
      </c>
      <c r="H16" s="1" t="s">
        <v>65</v>
      </c>
      <c r="I16" s="1" t="s">
        <v>117</v>
      </c>
      <c r="J16" s="1" t="s">
        <v>67</v>
      </c>
      <c r="K16" s="1" t="s">
        <v>68</v>
      </c>
      <c r="L16" s="1" t="s">
        <v>69</v>
      </c>
      <c r="M16" s="1" t="s">
        <v>70</v>
      </c>
      <c r="N16" s="1" t="s">
        <v>118</v>
      </c>
      <c r="O16" s="1" t="s">
        <v>72</v>
      </c>
      <c r="P16" s="2">
        <v>97</v>
      </c>
      <c r="Q16" s="2">
        <v>5</v>
      </c>
      <c r="R16" s="2">
        <v>0</v>
      </c>
      <c r="S16" s="2">
        <v>54</v>
      </c>
      <c r="T16" s="2">
        <v>43</v>
      </c>
      <c r="U16" s="2">
        <v>97</v>
      </c>
      <c r="V16" s="2">
        <v>6</v>
      </c>
      <c r="W16" s="2">
        <v>0</v>
      </c>
      <c r="X16" s="3">
        <v>360.17001342773437</v>
      </c>
      <c r="Y16" s="2">
        <v>135</v>
      </c>
      <c r="Z16" s="2">
        <v>0</v>
      </c>
      <c r="AA16" s="2">
        <v>2754</v>
      </c>
      <c r="AB16" s="2">
        <v>0</v>
      </c>
      <c r="AC16" s="2">
        <v>2240</v>
      </c>
      <c r="AD16" s="2">
        <v>0</v>
      </c>
      <c r="AE16" s="2">
        <v>0</v>
      </c>
      <c r="AF16" s="2">
        <v>1233</v>
      </c>
      <c r="AG16" s="2">
        <v>0</v>
      </c>
      <c r="AH16" s="2">
        <v>0</v>
      </c>
      <c r="AI16" s="2">
        <v>0</v>
      </c>
      <c r="AJ16" s="2">
        <v>129</v>
      </c>
      <c r="AK16" s="2">
        <v>0</v>
      </c>
      <c r="AL16" s="2">
        <v>0</v>
      </c>
      <c r="AM16" s="2">
        <v>0</v>
      </c>
      <c r="AN16" s="3">
        <v>41.628501892089844</v>
      </c>
      <c r="AO16" s="2">
        <v>0</v>
      </c>
      <c r="AP16" s="2">
        <v>0</v>
      </c>
      <c r="AQ16" s="2">
        <v>600</v>
      </c>
      <c r="AR16" s="1" t="s">
        <v>123</v>
      </c>
      <c r="AS16" s="2">
        <v>233</v>
      </c>
      <c r="AT16" s="1" t="s">
        <v>124</v>
      </c>
      <c r="AU16" s="2">
        <v>6356</v>
      </c>
      <c r="AV16" s="2">
        <v>3602</v>
      </c>
      <c r="AW16" s="2">
        <v>6356</v>
      </c>
      <c r="AX16" s="2">
        <v>6956</v>
      </c>
      <c r="AY16" s="2">
        <v>6723</v>
      </c>
      <c r="AZ16" s="3">
        <v>220.32</v>
      </c>
      <c r="BA16" s="3">
        <v>6943.32</v>
      </c>
      <c r="BB16" s="2">
        <v>0</v>
      </c>
      <c r="BC16" s="3">
        <v>1249.7975999999999</v>
      </c>
      <c r="BD16" s="3">
        <v>8193.1175999999996</v>
      </c>
      <c r="BE16" s="1"/>
      <c r="BF16" s="1"/>
      <c r="BG16" s="1"/>
      <c r="BH16" s="1"/>
      <c r="BI16" s="1"/>
      <c r="BJ16" s="4">
        <v>45793.130868055552</v>
      </c>
    </row>
    <row r="17" spans="1:62">
      <c r="A17" s="2">
        <v>2025</v>
      </c>
      <c r="B17" s="2">
        <v>5</v>
      </c>
      <c r="C17" s="2">
        <v>2</v>
      </c>
      <c r="D17" s="2">
        <v>787959</v>
      </c>
      <c r="E17" s="1" t="s">
        <v>125</v>
      </c>
      <c r="F17" s="1" t="s">
        <v>63</v>
      </c>
      <c r="G17" s="1" t="s">
        <v>80</v>
      </c>
      <c r="H17" s="1" t="s">
        <v>65</v>
      </c>
      <c r="I17" s="1" t="s">
        <v>108</v>
      </c>
      <c r="J17" s="1" t="s">
        <v>67</v>
      </c>
      <c r="K17" s="1" t="s">
        <v>68</v>
      </c>
      <c r="L17" s="1" t="s">
        <v>69</v>
      </c>
      <c r="M17" s="1" t="s">
        <v>70</v>
      </c>
      <c r="N17" s="1" t="s">
        <v>109</v>
      </c>
      <c r="O17" s="1" t="s">
        <v>72</v>
      </c>
      <c r="P17" s="2">
        <v>16</v>
      </c>
      <c r="Q17" s="2">
        <v>0</v>
      </c>
      <c r="R17" s="2">
        <v>0</v>
      </c>
      <c r="S17" s="2">
        <v>16</v>
      </c>
      <c r="T17" s="2">
        <v>0</v>
      </c>
      <c r="U17" s="2">
        <v>16</v>
      </c>
      <c r="V17" s="2">
        <v>2</v>
      </c>
      <c r="W17" s="2">
        <v>0</v>
      </c>
      <c r="X17" s="3">
        <v>80.550003051757813</v>
      </c>
      <c r="Y17" s="2">
        <v>0</v>
      </c>
      <c r="Z17" s="2">
        <v>0</v>
      </c>
      <c r="AA17" s="2">
        <v>480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3">
        <v>8.7689447402954102</v>
      </c>
      <c r="AO17" s="2">
        <v>0</v>
      </c>
      <c r="AP17" s="2">
        <v>0</v>
      </c>
      <c r="AQ17" s="2">
        <v>0</v>
      </c>
      <c r="AR17" s="1" t="s">
        <v>73</v>
      </c>
      <c r="AS17" s="2">
        <v>0</v>
      </c>
      <c r="AT17" s="1" t="s">
        <v>73</v>
      </c>
      <c r="AU17" s="2">
        <v>480</v>
      </c>
      <c r="AV17" s="2">
        <v>0</v>
      </c>
      <c r="AW17" s="2">
        <v>480</v>
      </c>
      <c r="AX17" s="2">
        <v>480</v>
      </c>
      <c r="AY17" s="2">
        <v>480</v>
      </c>
      <c r="AZ17" s="3">
        <v>38.4</v>
      </c>
      <c r="BA17" s="3">
        <v>518.4</v>
      </c>
      <c r="BB17" s="2">
        <v>0</v>
      </c>
      <c r="BC17" s="3">
        <v>93.311999999999998</v>
      </c>
      <c r="BD17" s="3">
        <v>611.71199999999999</v>
      </c>
      <c r="BE17" s="1" t="s">
        <v>126</v>
      </c>
      <c r="BF17" s="1" t="s">
        <v>127</v>
      </c>
      <c r="BG17" s="1" t="s">
        <v>128</v>
      </c>
      <c r="BH17" s="1" t="s">
        <v>92</v>
      </c>
      <c r="BI17" s="5">
        <v>45789</v>
      </c>
      <c r="BJ17" s="4">
        <v>45793.130868055552</v>
      </c>
    </row>
    <row r="18" spans="1:62">
      <c r="A18" s="2">
        <v>2025</v>
      </c>
      <c r="B18" s="2">
        <v>5</v>
      </c>
      <c r="C18" s="2">
        <v>2</v>
      </c>
      <c r="D18" s="2">
        <v>786490</v>
      </c>
      <c r="E18" s="1" t="s">
        <v>129</v>
      </c>
      <c r="F18" s="1" t="s">
        <v>63</v>
      </c>
      <c r="G18" s="1" t="s">
        <v>102</v>
      </c>
      <c r="H18" s="1" t="s">
        <v>65</v>
      </c>
      <c r="I18" s="1" t="s">
        <v>84</v>
      </c>
      <c r="J18" s="1" t="s">
        <v>67</v>
      </c>
      <c r="K18" s="1" t="s">
        <v>68</v>
      </c>
      <c r="L18" s="1" t="s">
        <v>69</v>
      </c>
      <c r="M18" s="1" t="s">
        <v>70</v>
      </c>
      <c r="N18" s="1" t="s">
        <v>130</v>
      </c>
      <c r="O18" s="1" t="s">
        <v>72</v>
      </c>
      <c r="P18" s="2">
        <v>124</v>
      </c>
      <c r="Q18" s="2">
        <v>0</v>
      </c>
      <c r="R18" s="2">
        <v>0</v>
      </c>
      <c r="S18" s="2">
        <v>87</v>
      </c>
      <c r="T18" s="2">
        <v>37</v>
      </c>
      <c r="U18" s="2">
        <v>124</v>
      </c>
      <c r="V18" s="2">
        <v>6</v>
      </c>
      <c r="W18" s="2">
        <v>0</v>
      </c>
      <c r="X18" s="3">
        <v>598.95001220703125</v>
      </c>
      <c r="Y18" s="2">
        <v>0</v>
      </c>
      <c r="Z18" s="2">
        <v>0</v>
      </c>
      <c r="AA18" s="2">
        <v>3348</v>
      </c>
      <c r="AB18" s="2">
        <v>0</v>
      </c>
      <c r="AC18" s="2">
        <v>70</v>
      </c>
      <c r="AD18" s="2">
        <v>0</v>
      </c>
      <c r="AE18" s="3">
        <v>519.8599853515625</v>
      </c>
      <c r="AF18" s="2">
        <v>1461</v>
      </c>
      <c r="AG18" s="2">
        <v>0</v>
      </c>
      <c r="AH18" s="2">
        <v>0</v>
      </c>
      <c r="AI18" s="2">
        <v>0</v>
      </c>
      <c r="AJ18" s="2">
        <v>111</v>
      </c>
      <c r="AK18" s="2">
        <v>0</v>
      </c>
      <c r="AL18" s="2">
        <v>250</v>
      </c>
      <c r="AM18" s="2">
        <v>0</v>
      </c>
      <c r="AN18" s="2">
        <v>54</v>
      </c>
      <c r="AO18" s="2">
        <v>0</v>
      </c>
      <c r="AP18" s="2">
        <v>0</v>
      </c>
      <c r="AQ18" s="2">
        <v>0</v>
      </c>
      <c r="AR18" s="1" t="s">
        <v>73</v>
      </c>
      <c r="AS18" s="2">
        <v>0</v>
      </c>
      <c r="AT18" s="1" t="s">
        <v>73</v>
      </c>
      <c r="AU18" s="3">
        <v>5759.85986328125</v>
      </c>
      <c r="AV18" s="3">
        <v>2411.860107421875</v>
      </c>
      <c r="AW18" s="3">
        <v>5759.85986328125</v>
      </c>
      <c r="AX18" s="3">
        <v>5759.85986328125</v>
      </c>
      <c r="AY18" s="3">
        <v>5759.85986328125</v>
      </c>
      <c r="AZ18" s="3">
        <v>267.84000000000003</v>
      </c>
      <c r="BA18" s="3">
        <v>6027.6998632812501</v>
      </c>
      <c r="BB18" s="2">
        <v>0</v>
      </c>
      <c r="BC18" s="3">
        <v>1084.9859753906251</v>
      </c>
      <c r="BD18" s="3">
        <v>7112.685838671875</v>
      </c>
      <c r="BE18" s="1" t="s">
        <v>131</v>
      </c>
      <c r="BF18" s="1" t="s">
        <v>132</v>
      </c>
      <c r="BG18" s="1" t="s">
        <v>133</v>
      </c>
      <c r="BH18" s="1" t="s">
        <v>106</v>
      </c>
      <c r="BI18" s="5">
        <v>45786</v>
      </c>
      <c r="BJ18" s="4">
        <v>45793.130868055552</v>
      </c>
    </row>
    <row r="19" spans="1:62" s="15" customFormat="1">
      <c r="A19" s="11">
        <v>2025</v>
      </c>
      <c r="B19" s="11">
        <v>5</v>
      </c>
      <c r="C19" s="11">
        <v>2</v>
      </c>
      <c r="D19" s="11">
        <v>757911</v>
      </c>
      <c r="E19" s="12" t="s">
        <v>134</v>
      </c>
      <c r="F19" s="12" t="s">
        <v>63</v>
      </c>
      <c r="G19" s="12" t="s">
        <v>64</v>
      </c>
      <c r="H19" s="12" t="s">
        <v>65</v>
      </c>
      <c r="I19" s="12" t="s">
        <v>117</v>
      </c>
      <c r="J19" s="12" t="s">
        <v>67</v>
      </c>
      <c r="K19" s="12" t="s">
        <v>68</v>
      </c>
      <c r="L19" s="12" t="s">
        <v>69</v>
      </c>
      <c r="M19" s="12" t="s">
        <v>70</v>
      </c>
      <c r="N19" s="12" t="s">
        <v>118</v>
      </c>
      <c r="O19" s="12" t="s">
        <v>72</v>
      </c>
      <c r="P19" s="11">
        <v>194</v>
      </c>
      <c r="Q19" s="11">
        <v>2</v>
      </c>
      <c r="R19" s="11">
        <v>0</v>
      </c>
      <c r="S19" s="11">
        <v>130</v>
      </c>
      <c r="T19" s="11">
        <v>64</v>
      </c>
      <c r="U19" s="11">
        <v>194</v>
      </c>
      <c r="V19" s="11">
        <v>7</v>
      </c>
      <c r="W19" s="11">
        <v>0</v>
      </c>
      <c r="X19" s="13">
        <v>658.44000244140625</v>
      </c>
      <c r="Y19" s="11">
        <v>54</v>
      </c>
      <c r="Z19" s="11">
        <v>0</v>
      </c>
      <c r="AA19" s="11">
        <v>5292</v>
      </c>
      <c r="AB19" s="11">
        <v>0</v>
      </c>
      <c r="AC19" s="11">
        <v>0</v>
      </c>
      <c r="AD19" s="11">
        <v>0</v>
      </c>
      <c r="AE19" s="11">
        <v>0</v>
      </c>
      <c r="AF19" s="11">
        <v>3093</v>
      </c>
      <c r="AG19" s="11">
        <v>0</v>
      </c>
      <c r="AH19" s="11">
        <v>0</v>
      </c>
      <c r="AI19" s="11">
        <v>60</v>
      </c>
      <c r="AJ19" s="11">
        <v>201</v>
      </c>
      <c r="AK19" s="11">
        <v>0</v>
      </c>
      <c r="AL19" s="11">
        <v>500</v>
      </c>
      <c r="AM19" s="11">
        <v>0</v>
      </c>
      <c r="AN19" s="13">
        <v>59.011821746826172</v>
      </c>
      <c r="AO19" s="11">
        <v>0</v>
      </c>
      <c r="AP19" s="11">
        <v>0</v>
      </c>
      <c r="AQ19" s="11">
        <v>0</v>
      </c>
      <c r="AR19" s="12" t="s">
        <v>73</v>
      </c>
      <c r="AS19" s="11">
        <v>458</v>
      </c>
      <c r="AT19" s="12" t="s">
        <v>124</v>
      </c>
      <c r="AU19" s="11">
        <v>9146</v>
      </c>
      <c r="AV19" s="11">
        <v>3854</v>
      </c>
      <c r="AW19" s="11">
        <v>9146</v>
      </c>
      <c r="AX19" s="11">
        <v>9146</v>
      </c>
      <c r="AY19" s="11">
        <v>8688</v>
      </c>
      <c r="AZ19" s="13">
        <v>423.36</v>
      </c>
      <c r="BA19" s="13">
        <v>9111.36</v>
      </c>
      <c r="BB19" s="11">
        <v>0</v>
      </c>
      <c r="BC19" s="13">
        <v>1640.0448000000001</v>
      </c>
      <c r="BD19" s="13">
        <v>10751.4048</v>
      </c>
      <c r="BE19" s="12"/>
      <c r="BF19" s="12"/>
      <c r="BG19" s="12"/>
      <c r="BH19" s="12"/>
      <c r="BI19" s="12"/>
      <c r="BJ19" s="14">
        <v>45793.130868055552</v>
      </c>
    </row>
    <row r="20" spans="1:62">
      <c r="A20" s="2">
        <v>2025</v>
      </c>
      <c r="B20" s="2">
        <v>5</v>
      </c>
      <c r="C20" s="2">
        <v>2</v>
      </c>
      <c r="D20" s="2">
        <v>741275</v>
      </c>
      <c r="E20" s="1" t="s">
        <v>135</v>
      </c>
      <c r="F20" s="1" t="s">
        <v>63</v>
      </c>
      <c r="G20" s="1" t="s">
        <v>80</v>
      </c>
      <c r="H20" s="1" t="s">
        <v>65</v>
      </c>
      <c r="I20" s="1" t="s">
        <v>136</v>
      </c>
      <c r="J20" s="1" t="s">
        <v>67</v>
      </c>
      <c r="K20" s="1" t="s">
        <v>68</v>
      </c>
      <c r="L20" s="1" t="s">
        <v>69</v>
      </c>
      <c r="M20" s="1" t="s">
        <v>70</v>
      </c>
      <c r="N20" s="1" t="s">
        <v>137</v>
      </c>
      <c r="O20" s="1" t="s">
        <v>72</v>
      </c>
      <c r="P20" s="2">
        <v>202</v>
      </c>
      <c r="Q20" s="2">
        <v>1</v>
      </c>
      <c r="R20" s="2">
        <v>0</v>
      </c>
      <c r="S20" s="2">
        <v>152</v>
      </c>
      <c r="T20" s="2">
        <v>50</v>
      </c>
      <c r="U20" s="2">
        <v>202</v>
      </c>
      <c r="V20" s="2">
        <v>7</v>
      </c>
      <c r="W20" s="2">
        <v>0</v>
      </c>
      <c r="X20" s="3">
        <v>1006.02001953125</v>
      </c>
      <c r="Y20" s="2">
        <v>30</v>
      </c>
      <c r="Z20" s="2">
        <v>0</v>
      </c>
      <c r="AA20" s="2">
        <v>6090</v>
      </c>
      <c r="AB20" s="2">
        <v>0</v>
      </c>
      <c r="AC20" s="2">
        <v>2020</v>
      </c>
      <c r="AD20" s="2">
        <v>0</v>
      </c>
      <c r="AE20" s="3">
        <v>527.15997314453125</v>
      </c>
      <c r="AF20" s="2">
        <v>3434</v>
      </c>
      <c r="AG20" s="2">
        <v>0</v>
      </c>
      <c r="AH20" s="2">
        <v>0</v>
      </c>
      <c r="AI20" s="2">
        <v>0</v>
      </c>
      <c r="AJ20" s="2">
        <v>156</v>
      </c>
      <c r="AK20" s="2">
        <v>0</v>
      </c>
      <c r="AL20" s="2">
        <v>800</v>
      </c>
      <c r="AM20" s="2">
        <v>0</v>
      </c>
      <c r="AN20" s="3">
        <v>61.51422119140625</v>
      </c>
      <c r="AO20" s="2">
        <v>2800</v>
      </c>
      <c r="AP20" s="2">
        <v>6</v>
      </c>
      <c r="AQ20" s="2">
        <v>0</v>
      </c>
      <c r="AR20" s="1" t="s">
        <v>73</v>
      </c>
      <c r="AS20" s="2">
        <v>1110</v>
      </c>
      <c r="AT20" s="1" t="s">
        <v>138</v>
      </c>
      <c r="AU20" s="3">
        <v>13027.16015625</v>
      </c>
      <c r="AV20" s="3">
        <v>6937.16015625</v>
      </c>
      <c r="AW20" s="3">
        <v>15827.16015625</v>
      </c>
      <c r="AX20" s="3">
        <v>15827.16015625</v>
      </c>
      <c r="AY20" s="3">
        <v>14717.16015625</v>
      </c>
      <c r="AZ20" s="3">
        <v>487.2</v>
      </c>
      <c r="BA20" s="3">
        <v>15204.360156250001</v>
      </c>
      <c r="BB20" s="2">
        <v>0</v>
      </c>
      <c r="BC20" s="3">
        <v>2736.7848281249999</v>
      </c>
      <c r="BD20" s="3">
        <v>17941.144984375002</v>
      </c>
      <c r="BE20" s="1"/>
      <c r="BF20" s="1"/>
      <c r="BG20" s="1"/>
      <c r="BH20" s="1"/>
      <c r="BI20" s="1"/>
      <c r="BJ20" s="4">
        <v>45793.130868055552</v>
      </c>
    </row>
    <row r="21" spans="1:62">
      <c r="A21" s="2">
        <v>2025</v>
      </c>
      <c r="B21" s="2">
        <v>5</v>
      </c>
      <c r="C21" s="2">
        <v>2</v>
      </c>
      <c r="D21" s="2">
        <v>754583</v>
      </c>
      <c r="E21" s="1" t="s">
        <v>139</v>
      </c>
      <c r="F21" s="1" t="s">
        <v>63</v>
      </c>
      <c r="G21" s="1" t="s">
        <v>64</v>
      </c>
      <c r="H21" s="1" t="s">
        <v>65</v>
      </c>
      <c r="I21" s="1" t="s">
        <v>66</v>
      </c>
      <c r="J21" s="1" t="s">
        <v>67</v>
      </c>
      <c r="K21" s="1" t="s">
        <v>68</v>
      </c>
      <c r="L21" s="1" t="s">
        <v>69</v>
      </c>
      <c r="M21" s="1" t="s">
        <v>70</v>
      </c>
      <c r="N21" s="1" t="s">
        <v>71</v>
      </c>
      <c r="O21" s="1" t="s">
        <v>72</v>
      </c>
      <c r="P21" s="2">
        <v>58</v>
      </c>
      <c r="Q21" s="2">
        <v>2</v>
      </c>
      <c r="R21" s="2">
        <v>0</v>
      </c>
      <c r="S21" s="2">
        <v>28</v>
      </c>
      <c r="T21" s="2">
        <v>30</v>
      </c>
      <c r="U21" s="2">
        <v>58</v>
      </c>
      <c r="V21" s="2">
        <v>4</v>
      </c>
      <c r="W21" s="2">
        <v>0</v>
      </c>
      <c r="X21" s="3">
        <v>285.14999389648438</v>
      </c>
      <c r="Y21" s="2">
        <v>54</v>
      </c>
      <c r="Z21" s="2">
        <v>0</v>
      </c>
      <c r="AA21" s="2">
        <v>1620</v>
      </c>
      <c r="AB21" s="2">
        <v>0</v>
      </c>
      <c r="AC21" s="2">
        <v>0</v>
      </c>
      <c r="AD21" s="2">
        <v>0</v>
      </c>
      <c r="AE21" s="2">
        <v>0</v>
      </c>
      <c r="AF21" s="2">
        <v>676</v>
      </c>
      <c r="AG21" s="2">
        <v>0</v>
      </c>
      <c r="AH21" s="2">
        <v>0</v>
      </c>
      <c r="AI21" s="2">
        <v>0</v>
      </c>
      <c r="AJ21" s="2">
        <v>96</v>
      </c>
      <c r="AK21" s="2">
        <v>0</v>
      </c>
      <c r="AL21" s="2">
        <v>0</v>
      </c>
      <c r="AM21" s="2">
        <v>0</v>
      </c>
      <c r="AN21" s="3">
        <v>24.874122619628906</v>
      </c>
      <c r="AO21" s="2">
        <v>0</v>
      </c>
      <c r="AP21" s="2">
        <v>0</v>
      </c>
      <c r="AQ21" s="2">
        <v>0</v>
      </c>
      <c r="AR21" s="1" t="s">
        <v>73</v>
      </c>
      <c r="AS21" s="2">
        <v>0</v>
      </c>
      <c r="AT21" s="1" t="s">
        <v>73</v>
      </c>
      <c r="AU21" s="2">
        <v>2392</v>
      </c>
      <c r="AV21" s="2">
        <v>772</v>
      </c>
      <c r="AW21" s="2">
        <v>2392</v>
      </c>
      <c r="AX21" s="2">
        <v>2392</v>
      </c>
      <c r="AY21" s="2">
        <v>2392</v>
      </c>
      <c r="AZ21" s="3">
        <v>129.6</v>
      </c>
      <c r="BA21" s="3">
        <v>2521.6</v>
      </c>
      <c r="BB21" s="2">
        <v>0</v>
      </c>
      <c r="BC21" s="3">
        <v>453.88799999999998</v>
      </c>
      <c r="BD21" s="3">
        <v>2975.4879999999998</v>
      </c>
      <c r="BE21" s="1"/>
      <c r="BF21" s="1"/>
      <c r="BG21" s="1"/>
      <c r="BH21" s="1"/>
      <c r="BI21" s="1"/>
      <c r="BJ21" s="4">
        <v>45793.130868055552</v>
      </c>
    </row>
    <row r="22" spans="1:62">
      <c r="A22" s="2">
        <v>2025</v>
      </c>
      <c r="B22" s="2">
        <v>5</v>
      </c>
      <c r="C22" s="2">
        <v>2</v>
      </c>
      <c r="D22" s="2">
        <v>754742</v>
      </c>
      <c r="E22" s="1" t="s">
        <v>140</v>
      </c>
      <c r="F22" s="1" t="s">
        <v>63</v>
      </c>
      <c r="G22" s="1" t="s">
        <v>64</v>
      </c>
      <c r="H22" s="1" t="s">
        <v>65</v>
      </c>
      <c r="I22" s="1" t="s">
        <v>66</v>
      </c>
      <c r="J22" s="1" t="s">
        <v>67</v>
      </c>
      <c r="K22" s="1" t="s">
        <v>68</v>
      </c>
      <c r="L22" s="1" t="s">
        <v>69</v>
      </c>
      <c r="M22" s="1" t="s">
        <v>70</v>
      </c>
      <c r="N22" s="1" t="s">
        <v>71</v>
      </c>
      <c r="O22" s="1" t="s">
        <v>72</v>
      </c>
      <c r="P22" s="2">
        <v>127</v>
      </c>
      <c r="Q22" s="2">
        <v>0</v>
      </c>
      <c r="R22" s="2">
        <v>0</v>
      </c>
      <c r="S22" s="2">
        <v>80</v>
      </c>
      <c r="T22" s="2">
        <v>47</v>
      </c>
      <c r="U22" s="2">
        <v>127</v>
      </c>
      <c r="V22" s="2">
        <v>7</v>
      </c>
      <c r="W22" s="2">
        <v>0</v>
      </c>
      <c r="X22" s="3">
        <v>560.27001953125</v>
      </c>
      <c r="Y22" s="2">
        <v>0</v>
      </c>
      <c r="Z22" s="2">
        <v>0</v>
      </c>
      <c r="AA22" s="2">
        <v>3429</v>
      </c>
      <c r="AB22" s="2">
        <v>0</v>
      </c>
      <c r="AC22" s="2">
        <v>0</v>
      </c>
      <c r="AD22" s="2">
        <v>0</v>
      </c>
      <c r="AE22" s="2">
        <v>0</v>
      </c>
      <c r="AF22" s="2">
        <v>1498</v>
      </c>
      <c r="AG22" s="2">
        <v>0</v>
      </c>
      <c r="AH22" s="2">
        <v>0</v>
      </c>
      <c r="AI22" s="2">
        <v>30</v>
      </c>
      <c r="AJ22" s="2">
        <v>141</v>
      </c>
      <c r="AK22" s="2">
        <v>0</v>
      </c>
      <c r="AL22" s="2">
        <v>250</v>
      </c>
      <c r="AM22" s="2">
        <v>0</v>
      </c>
      <c r="AN22" s="3">
        <v>52.626476287841797</v>
      </c>
      <c r="AO22" s="2">
        <v>0</v>
      </c>
      <c r="AP22" s="2">
        <v>0</v>
      </c>
      <c r="AQ22" s="2">
        <v>0</v>
      </c>
      <c r="AR22" s="1" t="s">
        <v>73</v>
      </c>
      <c r="AS22" s="2">
        <v>0</v>
      </c>
      <c r="AT22" s="1" t="s">
        <v>73</v>
      </c>
      <c r="AU22" s="2">
        <v>5348</v>
      </c>
      <c r="AV22" s="2">
        <v>1919</v>
      </c>
      <c r="AW22" s="2">
        <v>5348</v>
      </c>
      <c r="AX22" s="2">
        <v>5348</v>
      </c>
      <c r="AY22" s="2">
        <v>5348</v>
      </c>
      <c r="AZ22" s="3">
        <v>274.32</v>
      </c>
      <c r="BA22" s="3">
        <v>5622.32</v>
      </c>
      <c r="BB22" s="2">
        <v>0</v>
      </c>
      <c r="BC22" s="3">
        <v>1012.0175999999999</v>
      </c>
      <c r="BD22" s="3">
        <v>6634.3375999999998</v>
      </c>
      <c r="BE22" s="1"/>
      <c r="BF22" s="1"/>
      <c r="BG22" s="1"/>
      <c r="BH22" s="1"/>
      <c r="BI22" s="1"/>
      <c r="BJ22" s="4">
        <v>45793.130868055552</v>
      </c>
    </row>
    <row r="23" spans="1:62">
      <c r="A23" s="2">
        <v>2025</v>
      </c>
      <c r="B23" s="2">
        <v>5</v>
      </c>
      <c r="C23" s="2">
        <v>2</v>
      </c>
      <c r="D23" s="2">
        <v>739199</v>
      </c>
      <c r="E23" s="1" t="s">
        <v>141</v>
      </c>
      <c r="F23" s="1" t="s">
        <v>63</v>
      </c>
      <c r="G23" s="1" t="s">
        <v>64</v>
      </c>
      <c r="H23" s="1" t="s">
        <v>65</v>
      </c>
      <c r="I23" s="1" t="s">
        <v>142</v>
      </c>
      <c r="J23" s="1" t="s">
        <v>67</v>
      </c>
      <c r="K23" s="1" t="s">
        <v>68</v>
      </c>
      <c r="L23" s="1" t="s">
        <v>69</v>
      </c>
      <c r="M23" s="1" t="s">
        <v>70</v>
      </c>
      <c r="N23" s="1" t="s">
        <v>143</v>
      </c>
      <c r="O23" s="1" t="s">
        <v>72</v>
      </c>
      <c r="P23" s="2">
        <v>15</v>
      </c>
      <c r="Q23" s="2">
        <v>1</v>
      </c>
      <c r="R23" s="2">
        <v>0</v>
      </c>
      <c r="S23" s="2">
        <v>15</v>
      </c>
      <c r="T23" s="2">
        <v>0</v>
      </c>
      <c r="U23" s="2">
        <v>15</v>
      </c>
      <c r="V23" s="2">
        <v>2</v>
      </c>
      <c r="W23" s="2">
        <v>0</v>
      </c>
      <c r="X23" s="3">
        <v>50.509998321533203</v>
      </c>
      <c r="Y23" s="2">
        <v>27</v>
      </c>
      <c r="Z23" s="2">
        <v>0</v>
      </c>
      <c r="AA23" s="2">
        <v>432</v>
      </c>
      <c r="AB23" s="2">
        <v>0</v>
      </c>
      <c r="AC23" s="2">
        <v>0</v>
      </c>
      <c r="AD23" s="2">
        <v>0</v>
      </c>
      <c r="AE23" s="3">
        <v>9.3000001907348633</v>
      </c>
      <c r="AF23" s="2">
        <v>60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3">
        <v>6.6706557273864746</v>
      </c>
      <c r="AO23" s="2">
        <v>0</v>
      </c>
      <c r="AP23" s="2">
        <v>0</v>
      </c>
      <c r="AQ23" s="2">
        <v>90</v>
      </c>
      <c r="AR23" s="1" t="s">
        <v>144</v>
      </c>
      <c r="AS23" s="2">
        <v>0</v>
      </c>
      <c r="AT23" s="1" t="s">
        <v>73</v>
      </c>
      <c r="AU23" s="3">
        <v>501.29998779296875</v>
      </c>
      <c r="AV23" s="3">
        <v>69.300003051757812</v>
      </c>
      <c r="AW23" s="3">
        <v>501.29998779296875</v>
      </c>
      <c r="AX23" s="3">
        <v>591.29998779296875</v>
      </c>
      <c r="AY23" s="3">
        <v>591.29998779296875</v>
      </c>
      <c r="AZ23" s="3">
        <v>34.56</v>
      </c>
      <c r="BA23" s="3">
        <v>625.8599877929687</v>
      </c>
      <c r="BB23" s="2">
        <v>0</v>
      </c>
      <c r="BC23" s="3">
        <v>112.65479780273436</v>
      </c>
      <c r="BD23" s="3">
        <v>738.51478559570307</v>
      </c>
      <c r="BE23" s="1"/>
      <c r="BF23" s="1"/>
      <c r="BG23" s="1"/>
      <c r="BH23" s="1"/>
      <c r="BI23" s="1"/>
      <c r="BJ23" s="4">
        <v>45793.130868055552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11"/>
  <sheetViews>
    <sheetView topLeftCell="D1" workbookViewId="0">
      <selection activeCell="E2" sqref="E2:E10"/>
    </sheetView>
  </sheetViews>
  <sheetFormatPr defaultRowHeight="14.25"/>
  <cols>
    <col min="3" max="3" width="27" bestFit="1" customWidth="1"/>
    <col min="4" max="4" width="21" bestFit="1" customWidth="1"/>
    <col min="5" max="5" width="30.75" bestFit="1" customWidth="1"/>
    <col min="6" max="6" width="36.375" bestFit="1" customWidth="1"/>
    <col min="7" max="7" width="21.875" bestFit="1" customWidth="1"/>
  </cols>
  <sheetData>
    <row r="1" spans="3:11">
      <c r="C1" t="s">
        <v>145</v>
      </c>
      <c r="D1" t="s">
        <v>147</v>
      </c>
      <c r="E1" t="s">
        <v>150</v>
      </c>
      <c r="F1" t="s">
        <v>148</v>
      </c>
      <c r="G1" t="s">
        <v>149</v>
      </c>
    </row>
    <row r="2" spans="3:11">
      <c r="C2" t="s">
        <v>66</v>
      </c>
      <c r="D2" s="9">
        <v>596</v>
      </c>
      <c r="E2" s="9">
        <v>25433.199999999997</v>
      </c>
      <c r="F2" s="9">
        <v>24094</v>
      </c>
      <c r="G2" s="9">
        <v>1339.2</v>
      </c>
      <c r="I2" s="10">
        <v>24094</v>
      </c>
      <c r="J2" s="10"/>
      <c r="K2" s="10"/>
    </row>
    <row r="3" spans="3:11">
      <c r="C3" t="s">
        <v>75</v>
      </c>
      <c r="D3" s="9">
        <v>256</v>
      </c>
      <c r="E3" s="9">
        <v>13188.519999999999</v>
      </c>
      <c r="F3" s="9">
        <v>12565</v>
      </c>
      <c r="G3" s="9">
        <v>623.52</v>
      </c>
      <c r="I3" s="10">
        <v>12565</v>
      </c>
      <c r="J3" s="10"/>
      <c r="K3" s="10"/>
    </row>
    <row r="4" spans="3:11">
      <c r="C4" t="s">
        <v>136</v>
      </c>
      <c r="D4" s="9">
        <v>202</v>
      </c>
      <c r="E4" s="9">
        <v>15204.360156250001</v>
      </c>
      <c r="F4" s="9">
        <v>14717.16015625</v>
      </c>
      <c r="G4" s="9">
        <v>487.2</v>
      </c>
      <c r="I4" s="10">
        <v>14717.16015625</v>
      </c>
      <c r="J4" s="10"/>
      <c r="K4" s="10"/>
    </row>
    <row r="5" spans="3:11">
      <c r="C5" t="s">
        <v>108</v>
      </c>
      <c r="D5" s="9">
        <v>117</v>
      </c>
      <c r="E5" s="9">
        <v>5221.7999999999993</v>
      </c>
      <c r="F5" s="9">
        <v>4941</v>
      </c>
      <c r="G5" s="9">
        <v>280.8</v>
      </c>
      <c r="I5" s="10">
        <v>4941</v>
      </c>
      <c r="J5" s="10"/>
      <c r="K5" s="10"/>
    </row>
    <row r="6" spans="3:11">
      <c r="C6" t="s">
        <v>117</v>
      </c>
      <c r="D6" s="9">
        <v>303</v>
      </c>
      <c r="E6" s="9">
        <v>16500.599999999999</v>
      </c>
      <c r="F6" s="9">
        <v>15831</v>
      </c>
      <c r="G6" s="9">
        <v>669.6</v>
      </c>
      <c r="I6" s="10">
        <v>15831</v>
      </c>
      <c r="J6" s="10"/>
      <c r="K6" s="10"/>
    </row>
    <row r="7" spans="3:11">
      <c r="C7" t="s">
        <v>81</v>
      </c>
      <c r="D7" s="9">
        <v>82</v>
      </c>
      <c r="E7" s="9">
        <v>3760</v>
      </c>
      <c r="F7" s="9">
        <v>3556</v>
      </c>
      <c r="G7" s="9">
        <v>204</v>
      </c>
      <c r="I7" s="10">
        <v>3556</v>
      </c>
      <c r="J7" s="10"/>
      <c r="K7" s="10"/>
    </row>
    <row r="8" spans="3:11">
      <c r="C8" t="s">
        <v>94</v>
      </c>
      <c r="D8" s="9">
        <v>16</v>
      </c>
      <c r="E8" s="9">
        <v>564.15997558593745</v>
      </c>
      <c r="F8" s="9">
        <v>529.5999755859375</v>
      </c>
      <c r="G8" s="9">
        <v>34.56</v>
      </c>
      <c r="I8" s="10">
        <v>529.5999755859375</v>
      </c>
      <c r="J8" s="10"/>
      <c r="K8" s="10"/>
    </row>
    <row r="9" spans="3:11">
      <c r="C9" t="s">
        <v>142</v>
      </c>
      <c r="D9" s="9">
        <v>15</v>
      </c>
      <c r="E9" s="9">
        <v>625.8599877929687</v>
      </c>
      <c r="F9" s="9">
        <v>591.29998779296875</v>
      </c>
      <c r="G9" s="9">
        <v>34.56</v>
      </c>
      <c r="I9" s="10">
        <v>591.29998779296875</v>
      </c>
      <c r="J9" s="10"/>
      <c r="K9" s="10"/>
    </row>
    <row r="10" spans="3:11">
      <c r="C10" t="s">
        <v>84</v>
      </c>
      <c r="D10" s="9">
        <v>316</v>
      </c>
      <c r="E10" s="9">
        <v>16485.919394531251</v>
      </c>
      <c r="F10" s="9">
        <v>15754.87939453125</v>
      </c>
      <c r="G10" s="9">
        <v>731.04</v>
      </c>
      <c r="I10" s="10">
        <v>15754.87939453125</v>
      </c>
      <c r="J10" s="10"/>
      <c r="K10" s="10"/>
    </row>
    <row r="11" spans="3:11">
      <c r="C11" t="s">
        <v>146</v>
      </c>
      <c r="D11" s="9">
        <v>1903</v>
      </c>
      <c r="E11" s="9">
        <v>96984.419514160167</v>
      </c>
      <c r="F11" s="9">
        <v>92579.939514160156</v>
      </c>
      <c r="G11" s="9">
        <v>4404.4799999999996</v>
      </c>
    </row>
  </sheetData>
  <mergeCells count="9">
    <mergeCell ref="I8:K8"/>
    <mergeCell ref="I9:K9"/>
    <mergeCell ref="I10:K10"/>
    <mergeCell ref="I2:K2"/>
    <mergeCell ref="I3:K3"/>
    <mergeCell ref="I4:K4"/>
    <mergeCell ref="I5:K5"/>
    <mergeCell ref="I6:K6"/>
    <mergeCell ref="I7:K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HP</cp:lastModifiedBy>
  <dcterms:created xsi:type="dcterms:W3CDTF">2025-05-16T07:03:38Z</dcterms:created>
  <dcterms:modified xsi:type="dcterms:W3CDTF">2025-05-22T10:36:20Z</dcterms:modified>
</cp:coreProperties>
</file>