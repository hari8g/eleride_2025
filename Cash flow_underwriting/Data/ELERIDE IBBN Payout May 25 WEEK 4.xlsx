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B_payment files\"/>
    </mc:Choice>
  </mc:AlternateContent>
  <bookViews>
    <workbookView xWindow="0" yWindow="0" windowWidth="20490" windowHeight="7455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2" hidden="1">Sheet2!$A$1:$H$22</definedName>
  </definedNames>
  <calcPr calcId="152511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J3" i="3"/>
  <c r="J4" i="3"/>
  <c r="J6" i="3"/>
  <c r="J7" i="3"/>
  <c r="J8" i="3"/>
  <c r="J9" i="3"/>
  <c r="J10" i="3"/>
  <c r="J11" i="3"/>
  <c r="J12" i="3"/>
  <c r="J13" i="3"/>
  <c r="J14" i="3"/>
  <c r="J2" i="3"/>
  <c r="I11" i="3"/>
  <c r="D23" i="2" l="1"/>
  <c r="E23" i="2"/>
  <c r="F23" i="2"/>
  <c r="G23" i="2"/>
  <c r="H23" i="2"/>
  <c r="C2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E19" i="2" l="1"/>
  <c r="E3" i="2"/>
  <c r="E5" i="2"/>
  <c r="E6" i="2"/>
  <c r="E7" i="2"/>
  <c r="E12" i="2"/>
  <c r="E15" i="2"/>
  <c r="E17" i="2"/>
  <c r="E21" i="2"/>
  <c r="E22" i="2"/>
  <c r="E2" i="2"/>
</calcChain>
</file>

<file path=xl/sharedStrings.xml><?xml version="1.0" encoding="utf-8"?>
<sst xmlns="http://schemas.openxmlformats.org/spreadsheetml/2006/main" count="459" uniqueCount="170">
  <si>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</si>
  <si>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</si>
  <si>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</si>
  <si>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</si>
  <si>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</si>
  <si>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</si>
  <si>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</si>
  <si>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</si>
  <si>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</si>
  <si>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store_type</t>
  </si>
  <si>
    <t>MG Status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</si>
  <si>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</si>
  <si>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</si>
  <si>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</si>
  <si>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</si>
  <si>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</si>
  <si>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</si>
  <si>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</si>
  <si>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</si>
  <si>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</si>
  <si>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</si>
  <si>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</si>
  <si>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</si>
  <si>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</si>
  <si>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</si>
  <si>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</si>
  <si>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</si>
  <si>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</si>
  <si>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</si>
  <si>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</si>
  <si>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</si>
  <si>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</si>
  <si>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</si>
  <si>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</si>
  <si>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</si>
  <si>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</si>
  <si>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</si>
  <si>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</si>
  <si>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</si>
  <si>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</si>
  <si>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</si>
  <si>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</si>
  <si>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</si>
  <si>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</si>
  <si>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</si>
  <si>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</si>
  <si>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</si>
  <si>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</si>
  <si>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</si>
  <si>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</si>
  <si>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</si>
  <si>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</si>
  <si>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</si>
  <si>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</si>
  <si>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</si>
  <si>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ELERIDEFIRSTDHAMMPAL AVHAD</t>
  </si>
  <si>
    <t>TPL CEE</t>
  </si>
  <si>
    <t>EV</t>
  </si>
  <si>
    <t>PUNE</t>
  </si>
  <si>
    <t>BSPUN-HINJEWADI-GS1</t>
  </si>
  <si>
    <t>INTEGRATED</t>
  </si>
  <si>
    <t>Service Fees</t>
  </si>
  <si>
    <t>ELERIDE MOBILITY SOLUTIONS PVT LTD</t>
  </si>
  <si>
    <t>BIKE</t>
  </si>
  <si>
    <t>INTEGRATED-IBBN-RC-008583-17</t>
  </si>
  <si>
    <t>7 DAYS</t>
  </si>
  <si>
    <t/>
  </si>
  <si>
    <t>IBND DEDUCTION</t>
  </si>
  <si>
    <t>ELERIDESUNILDATTATRAY0RAUT</t>
  </si>
  <si>
    <t>SAMADHANJUGADA ELERIDE</t>
  </si>
  <si>
    <t>NEV</t>
  </si>
  <si>
    <t>INTEGRATED-IBBN-RC-008582-18</t>
  </si>
  <si>
    <t>TAPASH KUMAR SAHAELERIDE</t>
  </si>
  <si>
    <t>DATTA JADHAVELRD BREAK</t>
  </si>
  <si>
    <t>MANJURULLAHKHAN ELERIDE</t>
  </si>
  <si>
    <t>ADITYAPISE</t>
  </si>
  <si>
    <t>MONUJRAJKONWAR</t>
  </si>
  <si>
    <t>LSV</t>
  </si>
  <si>
    <t>ELERIDEAMAN JADHAV</t>
  </si>
  <si>
    <t>BSPUN-JAGDISHNAGAR-BS2</t>
  </si>
  <si>
    <t>INTEGRATED-IBBN-RC-009659-9</t>
  </si>
  <si>
    <t>SADDLEBAG DAMAGED OR NOT SUBMITTED</t>
  </si>
  <si>
    <t>DAYANANDKALE</t>
  </si>
  <si>
    <t>NIKHIL RAJU GUPTELERIDE BREAK</t>
  </si>
  <si>
    <t>BSPUN-KSQARE-BANER-BS1</t>
  </si>
  <si>
    <t>INTEGRATED-IBBN-RC-009931-14</t>
  </si>
  <si>
    <t>AMANJAISWAL</t>
  </si>
  <si>
    <t>INTEGRATED-IBBN-RC-009926-14</t>
  </si>
  <si>
    <t>IBND DEDUCTION, INCORRECT ORDER ACKNOWLEDGEMENT PROCESS DEVIATION</t>
  </si>
  <si>
    <t>AKASH HIVARKARELERIDE MOBILITY</t>
  </si>
  <si>
    <t>BSPUN-NIGDI-BGS4</t>
  </si>
  <si>
    <t>INTEGRATED-IBBN-RC-012467-4</t>
  </si>
  <si>
    <t>IMRANSHAIKH</t>
  </si>
  <si>
    <t>BSPUN-WAKAD-BS1</t>
  </si>
  <si>
    <t>INTEGRATED-IBBN-RC-009932-14</t>
  </si>
  <si>
    <t>ROHAN SUDHKAR CHAVANELRD  BREAK</t>
  </si>
  <si>
    <t>T1EX-PUN-BANER</t>
  </si>
  <si>
    <t>INTEGRATED-IBBN-RC-011702-5</t>
  </si>
  <si>
    <t>ADESH KUMAR RAWATELERIDE</t>
  </si>
  <si>
    <t>EXCEPTION - ROUTE ORDER WEIGHT, NIGHT SHIFT MG</t>
  </si>
  <si>
    <t>SADDLEBAG DAMAGED OR NOT SUBMITTED, ORDER CASH NOT DEPOSITED AT HUB</t>
  </si>
  <si>
    <t>ANANDKUMAR</t>
  </si>
  <si>
    <t>MOHANGETULKAR</t>
  </si>
  <si>
    <t>ORDER CASH NOT DEPOSITED AT HUB</t>
  </si>
  <si>
    <t>SHUBHAM NANDU SATHEELERD</t>
  </si>
  <si>
    <t>T1EX-PUN-BAVDHAN</t>
  </si>
  <si>
    <t>default_arrear_rate_card</t>
  </si>
  <si>
    <t>EXCEPTION - PENDING PAYOUT</t>
  </si>
  <si>
    <t>GAURAOJAISWAL</t>
  </si>
  <si>
    <t>T1EX-PUN-PIMPRI</t>
  </si>
  <si>
    <t>INTEGRATED-IBBN-RC-013235-6</t>
  </si>
  <si>
    <t>SACHIN NAYASE7350987782</t>
  </si>
  <si>
    <t>T1EX-PUN-WAGHOLI</t>
  </si>
  <si>
    <t>INTEGRATED-IBBN-RC-009587-13</t>
  </si>
  <si>
    <t>SANTOSH NAYASE7517557492</t>
  </si>
  <si>
    <t>INTEGRATED-IBBN-RC-009586-12</t>
  </si>
  <si>
    <t>Rental</t>
  </si>
  <si>
    <t>Advance</t>
  </si>
  <si>
    <t>Negative</t>
  </si>
  <si>
    <t>Final Pay</t>
  </si>
  <si>
    <t>SACHIN NAYASE</t>
  </si>
  <si>
    <t>SANTOSH NAYASE</t>
  </si>
  <si>
    <t>ID</t>
  </si>
  <si>
    <t>CEE Name</t>
  </si>
  <si>
    <t>Order</t>
  </si>
  <si>
    <t>BB Pay</t>
  </si>
  <si>
    <t>ROHAN SUDHKAR CHAVAN</t>
  </si>
  <si>
    <t>NIKHIL RAJU GUPT</t>
  </si>
  <si>
    <t xml:space="preserve">MANJURULLAHKHAN </t>
  </si>
  <si>
    <t>DATTA JADHAVELRD</t>
  </si>
  <si>
    <t>TAPASH KUMAR SAHA</t>
  </si>
  <si>
    <t>ADESH KUMAR RAWAT</t>
  </si>
  <si>
    <t>KKBK0000725</t>
  </si>
  <si>
    <t>KOTAK MAHINDRA BANK</t>
  </si>
  <si>
    <t>924010043095487</t>
  </si>
  <si>
    <t>UTIB0000168</t>
  </si>
  <si>
    <t>AXIS BANK</t>
  </si>
  <si>
    <t>SBIN0017208</t>
  </si>
  <si>
    <t>SBI BANK</t>
  </si>
  <si>
    <t>MAHB0001261</t>
  </si>
  <si>
    <t>BANK OF MAHARASHTRA</t>
  </si>
  <si>
    <t>1776001700036318</t>
  </si>
  <si>
    <t>PUNB0177600</t>
  </si>
  <si>
    <t>PUNJAB NATIONAL BANK</t>
  </si>
  <si>
    <t>7798145335</t>
  </si>
  <si>
    <t>AIRP0000001</t>
  </si>
  <si>
    <t>AIRTEL PAYMENTS BANK</t>
  </si>
  <si>
    <t>UTIB0000338</t>
  </si>
  <si>
    <t>SBIN0000419</t>
  </si>
  <si>
    <t>KKBK0001793</t>
  </si>
  <si>
    <t>Account No</t>
  </si>
  <si>
    <t>IFSC</t>
  </si>
  <si>
    <t>Bank Name</t>
  </si>
  <si>
    <t>UBIN0575038</t>
  </si>
  <si>
    <t>Union Bank</t>
  </si>
  <si>
    <t>Week-03</t>
  </si>
  <si>
    <t>Week-2</t>
  </si>
  <si>
    <t>Week-01</t>
  </si>
  <si>
    <t>KKBK0005079</t>
  </si>
  <si>
    <t>UCBA0003505</t>
  </si>
  <si>
    <t>UCO BANK</t>
  </si>
  <si>
    <t xml:space="preserve"> Pay</t>
  </si>
  <si>
    <t>After TDS Pay</t>
  </si>
  <si>
    <t>Row Labels</t>
  </si>
  <si>
    <t>(blank)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</si>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</sst>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###0.##"/>
  </numFmts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Fill="1" applyBorder="1"/>
    <xf numFmtId="0" fontId="3" fillId="0" borderId="1" xfId="0" applyFont="1" applyFill="1" applyBorder="1"/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/>
    <xf numFmtId="1" fontId="3" fillId="0" borderId="1" xfId="0" quotePrefix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811.46281863426" createdVersion="5" refreshedVersion="5" minRefreshableVersion="3" recordCount="23">
  <cacheSource type="worksheet">
    <worksheetSource ref="A1:BC1048576" sheet="Sheet1"/>
  </cacheSource>
  <cacheFields count="55"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5" maxValue="5"/>
    </cacheField>
    <cacheField name="week" numFmtId="0">
      <sharedItems containsString="0" containsBlank="1" containsNumber="1" containsInteger="1" minValue="4" maxValue="4"/>
    </cacheField>
    <cacheField name="cee_id" numFmtId="0">
      <sharedItems containsString="0" containsBlank="1" containsNumber="1" containsInteger="1" minValue="735193" maxValue="794501"/>
    </cacheField>
    <cacheField name="cee_name" numFmtId="0">
      <sharedItems containsBlank="1"/>
    </cacheField>
    <cacheField name="cee_employment_category" numFmtId="0">
      <sharedItems containsBlank="1"/>
    </cacheField>
    <cacheField name="cee_category" numFmtId="0">
      <sharedItems containsBlank="1"/>
    </cacheField>
    <cacheField name="city" numFmtId="0">
      <sharedItems containsBlank="1"/>
    </cacheField>
    <cacheField name="store" numFmtId="0">
      <sharedItems containsBlank="1" count="10">
        <s v="BSPUN-HINJEWADI-GS1"/>
        <s v="BSPUN-JAGDISHNAGAR-BS2"/>
        <s v="BSPUN-KSQARE-BANER-BS1"/>
        <s v="BSPUN-NIGDI-BGS4"/>
        <s v="BSPUN-WAKAD-BS1"/>
        <s v="T1EX-PUN-BANER"/>
        <s v="T1EX-PUN-BAVDHAN"/>
        <s v="T1EX-PUN-PIMPRI"/>
        <s v="T1EX-PUN-WAGHOLI"/>
        <m/>
      </sharedItems>
    </cacheField>
    <cacheField name="store_type" numFmtId="0">
      <sharedItems containsBlank="1"/>
    </cacheField>
    <cacheField name="MG Status" numFmtId="0">
      <sharedItems containsBlank="1"/>
    </cacheField>
    <cacheField name="lmd_provider" numFmtId="0">
      <sharedItems containsBlank="1"/>
    </cacheField>
    <cacheField name="delivery_mode" numFmtId="0">
      <sharedItems containsBlank="1"/>
    </cacheField>
    <cacheField name="rate_card_id" numFmtId="0">
      <sharedItems containsBlank="1"/>
    </cacheField>
    <cacheField name="settlement_frequency" numFmtId="0">
      <sharedItems containsBlank="1"/>
    </cacheField>
    <cacheField name="delivered_orders" numFmtId="0">
      <sharedItems containsString="0" containsBlank="1" containsNumber="1" containsInteger="1" minValue="0" maxValue="312"/>
    </cacheField>
    <cacheField name="cancelled_orders" numFmtId="0">
      <sharedItems containsString="0" containsBlank="1" containsNumber="1" containsInteger="1" minValue="0" maxValue="12"/>
    </cacheField>
    <cacheField name="pickup_orders" numFmtId="0">
      <sharedItems containsString="0" containsBlank="1" containsNumber="1" containsInteger="1" minValue="0" maxValue="6"/>
    </cacheField>
    <cacheField name="weekday_orders" numFmtId="0">
      <sharedItems containsString="0" containsBlank="1" containsNumber="1" containsInteger="1" minValue="0" maxValue="222"/>
    </cacheField>
    <cacheField name="weekend_orders" numFmtId="0">
      <sharedItems containsString="0" containsBlank="1" containsNumber="1" containsInteger="1" minValue="0" maxValue="100"/>
    </cacheField>
    <cacheField name="incentivised_orders" numFmtId="0">
      <sharedItems containsString="0" containsBlank="1" containsNumber="1" containsInteger="1" minValue="0" maxValue="312"/>
    </cacheField>
    <cacheField name="attendance" numFmtId="0">
      <sharedItems containsString="0" containsBlank="1" containsNumber="1" containsInteger="1" minValue="0" maxValue="10"/>
    </cacheField>
    <cacheField name="month_attendance" numFmtId="0">
      <sharedItems containsString="0" containsBlank="1" containsNumber="1" containsInteger="1" minValue="0" maxValue="30"/>
    </cacheField>
    <cacheField name="distance" numFmtId="0">
      <sharedItems containsString="0" containsBlank="1" containsNumber="1" minValue="0" maxValue="642.32000732421875"/>
    </cacheField>
    <cacheField name="cancelled_order_payout" numFmtId="0">
      <sharedItems containsString="0" containsBlank="1" containsNumber="1" containsInteger="1" minValue="0" maxValue="360"/>
    </cacheField>
    <cacheField name="pickup_order_payout" numFmtId="0">
      <sharedItems containsString="0" containsBlank="1" containsNumber="1" containsInteger="1" minValue="0" maxValue="150"/>
    </cacheField>
    <cacheField name="order_base_payout" numFmtId="0">
      <sharedItems containsString="0" containsBlank="1" containsNumber="1" containsInteger="1" minValue="0" maxValue="7800"/>
    </cacheField>
    <cacheField name="surge_payout" numFmtId="0">
      <sharedItems containsString="0" containsBlank="1" containsNumber="1" containsInteger="1" minValue="0" maxValue="620"/>
    </cacheField>
    <cacheField name="peak_hour_payout" numFmtId="0">
      <sharedItems containsString="0" containsBlank="1" containsNumber="1" containsInteger="1" minValue="0" maxValue="4400"/>
    </cacheField>
    <cacheField name="order_distance_payout" numFmtId="0">
      <sharedItems containsString="0" containsBlank="1" containsNumber="1" minValue="0" maxValue="14.579999923706055"/>
    </cacheField>
    <cacheField name="daily_order_payout" numFmtId="0">
      <sharedItems containsString="0" containsBlank="1" containsNumber="1" containsInteger="1" minValue="0" maxValue="3120"/>
    </cacheField>
    <cacheField name="weekly_order_payout" numFmtId="0">
      <sharedItems containsString="0" containsBlank="1" containsNumber="1" containsInteger="1" minValue="0" maxValue="800"/>
    </cacheField>
    <cacheField name="monthly_order_payout" numFmtId="0">
      <sharedItems containsString="0" containsBlank="1" containsNumber="1" containsInteger="1" minValue="0" maxValue="0"/>
    </cacheField>
    <cacheField name="weight_payout" numFmtId="0">
      <sharedItems containsString="0" containsBlank="1" containsNumber="1" containsInteger="1" minValue="0" maxValue="90"/>
    </cacheField>
    <cacheField name="day_payout" numFmtId="0">
      <sharedItems containsString="0" containsBlank="1" containsNumber="1" containsInteger="1" minValue="0" maxValue="309"/>
    </cacheField>
    <cacheField name="joining_bonus" numFmtId="0">
      <sharedItems containsString="0" containsBlank="1" containsNumber="1" containsInteger="1" minValue="0" maxValue="2000"/>
    </cacheField>
    <cacheField name="weekly_attendance_payout" numFmtId="0">
      <sharedItems containsString="0" containsBlank="1" containsNumber="1" containsInteger="1" minValue="0" maxValue="4680"/>
    </cacheField>
    <cacheField name="monthly_attendance_payout" numFmtId="0">
      <sharedItems containsString="0" containsBlank="1" containsNumber="1" containsInteger="1" minValue="0" maxValue="0"/>
    </cacheField>
    <cacheField name="service_time" numFmtId="0">
      <sharedItems containsString="0" containsBlank="1" containsNumber="1" minValue="0" maxValue="88.393753051757813"/>
    </cacheField>
    <cacheField name="minimum_guarantee" numFmtId="0">
      <sharedItems containsString="0" containsBlank="1" containsNumber="1" containsInteger="1" minValue="0" maxValue="0"/>
    </cacheField>
    <cacheField name="mg_eligible_days" numFmtId="0">
      <sharedItems containsString="0" containsBlank="1" containsNumber="1" containsInteger="1" minValue="0" maxValue="0"/>
    </cacheField>
    <cacheField name="arrears_amount" numFmtId="0">
      <sharedItems containsString="0" containsBlank="1" containsNumber="1" containsInteger="1" minValue="0" maxValue="490"/>
    </cacheField>
    <cacheField name="arrears_reason" numFmtId="0">
      <sharedItems containsBlank="1"/>
    </cacheField>
    <cacheField name="deductions_amount" numFmtId="0">
      <sharedItems containsString="0" containsBlank="1" containsNumber="1" minValue="0" maxValue="378"/>
    </cacheField>
    <cacheField name="deductions_reason" numFmtId="0">
      <sharedItems containsBlank="1"/>
    </cacheField>
    <cacheField name="base_pay" numFmtId="0">
      <sharedItems containsString="0" containsBlank="1" containsNumber="1" minValue="0" maxValue="16967"/>
    </cacheField>
    <cacheField name="incentive_total" numFmtId="0">
      <sharedItems containsString="0" containsBlank="1" containsNumber="1" minValue="0" maxValue="9867"/>
    </cacheField>
    <cacheField name="total_without_arrears" numFmtId="0">
      <sharedItems containsString="0" containsBlank="1" containsNumber="1" minValue="0" maxValue="16967"/>
    </cacheField>
    <cacheField name="total_with_arrears" numFmtId="0">
      <sharedItems containsString="0" containsBlank="1" containsNumber="1" minValue="35" maxValue="17457"/>
    </cacheField>
    <cacheField name="total_with_arrears_and_deductions" numFmtId="0">
      <sharedItems containsString="0" containsBlank="1" containsNumber="1" minValue="35" maxValue="17079"/>
    </cacheField>
    <cacheField name="management_fee" numFmtId="0">
      <sharedItems containsString="0" containsBlank="1" containsNumber="1" minValue="0" maxValue="624"/>
    </cacheField>
    <cacheField name="total_with_management_fee" numFmtId="0">
      <sharedItems containsString="0" containsBlank="1" containsNumber="1" minValue="37" maxValue="17647"/>
    </cacheField>
    <cacheField name="tds" numFmtId="0">
      <sharedItems containsString="0" containsBlank="1" containsNumber="1" containsInteger="1" minValue="0" maxValue="0"/>
    </cacheField>
    <cacheField name="gst" numFmtId="0">
      <sharedItems containsString="0" containsBlank="1" containsNumber="1" minValue="6.66" maxValue="3176.46"/>
    </cacheField>
    <cacheField name="final_with_gst" numFmtId="0">
      <sharedItems containsString="0" containsBlank="1" containsNumber="1" minValue="43.66" maxValue="20823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n v="2025"/>
    <n v="5"/>
    <n v="4"/>
    <n v="735193"/>
    <s v="ELERIDEFIRSTDHAMMPAL AVHAD"/>
    <s v="TPL CEE"/>
    <s v="EV"/>
    <s v="PUNE"/>
    <x v="0"/>
    <s v="INTEGRATED"/>
    <s v="Service Fees"/>
    <s v="ELERIDE MOBILITY SOLUTIONS PVT LTD"/>
    <s v="BIKE"/>
    <s v="INTEGRATED-IBBN-RC-008583-17"/>
    <s v="7 DAYS"/>
    <n v="63"/>
    <n v="2"/>
    <n v="0"/>
    <n v="55"/>
    <n v="8"/>
    <n v="63"/>
    <n v="6"/>
    <n v="21"/>
    <n v="144.55000305175781"/>
    <n v="50"/>
    <n v="0"/>
    <n v="1625"/>
    <n v="115"/>
    <n v="210"/>
    <n v="0"/>
    <n v="0"/>
    <n v="0"/>
    <n v="0"/>
    <n v="0"/>
    <n v="24"/>
    <n v="0"/>
    <n v="0"/>
    <n v="0"/>
    <n v="26.566967010498047"/>
    <n v="0"/>
    <n v="0"/>
    <n v="0"/>
    <s v=""/>
    <n v="90"/>
    <s v="IBND DEDUCTION"/>
    <n v="1974"/>
    <n v="349"/>
    <n v="1974"/>
    <n v="1974"/>
    <n v="1884"/>
    <n v="130"/>
    <n v="2014"/>
    <n v="0"/>
    <n v="362.52"/>
    <n v="2376.52"/>
  </r>
  <r>
    <n v="2025"/>
    <n v="5"/>
    <n v="4"/>
    <n v="744645"/>
    <s v="ELERIDESUNILDATTATRAY0RAUT"/>
    <s v="TPL CEE"/>
    <s v="EV"/>
    <s v="PUNE"/>
    <x v="0"/>
    <s v="INTEGRATED"/>
    <s v="Service Fees"/>
    <s v="ELERIDE MOBILITY SOLUTIONS PVT LTD"/>
    <s v="BIKE"/>
    <s v="INTEGRATED-IBBN-RC-008583-17"/>
    <s v="7 DAYS"/>
    <n v="45"/>
    <n v="2"/>
    <n v="0"/>
    <n v="27"/>
    <n v="18"/>
    <n v="45"/>
    <n v="4"/>
    <n v="19"/>
    <n v="110.13999938964844"/>
    <n v="50"/>
    <n v="0"/>
    <n v="1175"/>
    <n v="110"/>
    <n v="80"/>
    <n v="0"/>
    <n v="0"/>
    <n v="0"/>
    <n v="0"/>
    <n v="0"/>
    <n v="54"/>
    <n v="0"/>
    <n v="0"/>
    <n v="0"/>
    <n v="19.61015510559082"/>
    <n v="0"/>
    <n v="0"/>
    <n v="0"/>
    <s v=""/>
    <n v="0"/>
    <s v=""/>
    <n v="1419"/>
    <n v="244"/>
    <n v="1419"/>
    <n v="1419"/>
    <n v="1419"/>
    <n v="94"/>
    <n v="1513"/>
    <n v="0"/>
    <n v="272.33999999999997"/>
    <n v="1785.34"/>
  </r>
  <r>
    <n v="2025"/>
    <n v="5"/>
    <n v="4"/>
    <n v="746897"/>
    <s v="SAMADHANJUGADA ELERIDE"/>
    <s v="TPL CEE"/>
    <s v="NEV"/>
    <s v="PUNE"/>
    <x v="0"/>
    <s v="INTEGRATED"/>
    <s v="Service Fees"/>
    <s v="ELERIDE MOBILITY SOLUTIONS PVT LTD"/>
    <s v="BIKE"/>
    <s v="INTEGRATED-IBBN-RC-008582-18"/>
    <s v="7 DAYS"/>
    <n v="5"/>
    <n v="0"/>
    <n v="0"/>
    <n v="2"/>
    <n v="3"/>
    <n v="5"/>
    <n v="2"/>
    <n v="17"/>
    <n v="13.789999961853027"/>
    <n v="0"/>
    <n v="0"/>
    <n v="150"/>
    <n v="0"/>
    <n v="20"/>
    <n v="0"/>
    <n v="0"/>
    <n v="0"/>
    <n v="0"/>
    <n v="0"/>
    <n v="9"/>
    <n v="0"/>
    <n v="0"/>
    <n v="0"/>
    <n v="2.3136110305786133"/>
    <n v="0"/>
    <n v="0"/>
    <n v="0"/>
    <s v=""/>
    <n v="0"/>
    <s v=""/>
    <n v="179"/>
    <n v="29"/>
    <n v="179"/>
    <n v="179"/>
    <n v="179"/>
    <n v="12"/>
    <n v="191"/>
    <n v="0"/>
    <n v="34.379999999999995"/>
    <n v="225.38"/>
  </r>
  <r>
    <n v="2025"/>
    <n v="5"/>
    <n v="4"/>
    <n v="753406"/>
    <s v="TAPASH KUMAR SAHAELERIDE"/>
    <s v="TPL CEE"/>
    <s v="EV"/>
    <s v="PUNE"/>
    <x v="0"/>
    <s v="INTEGRATED"/>
    <s v="Service Fees"/>
    <s v="ELERIDE MOBILITY SOLUTIONS PVT LTD"/>
    <s v="BIKE"/>
    <s v="INTEGRATED-IBBN-RC-008583-17"/>
    <s v="7 DAYS"/>
    <n v="113"/>
    <n v="4"/>
    <n v="0"/>
    <n v="95"/>
    <n v="18"/>
    <n v="113"/>
    <n v="9"/>
    <n v="26"/>
    <n v="270.48001098632812"/>
    <n v="100"/>
    <n v="0"/>
    <n v="2925"/>
    <n v="130"/>
    <n v="560"/>
    <n v="0"/>
    <n v="300"/>
    <n v="250"/>
    <n v="0"/>
    <n v="0"/>
    <n v="57"/>
    <n v="0"/>
    <n v="1356"/>
    <n v="0"/>
    <n v="44.905509948730469"/>
    <n v="0"/>
    <n v="0"/>
    <n v="0"/>
    <s v=""/>
    <n v="300"/>
    <s v="IBND DEDUCTION"/>
    <n v="5578"/>
    <n v="2653"/>
    <n v="5578"/>
    <n v="5578"/>
    <n v="5278"/>
    <n v="234"/>
    <n v="5512"/>
    <n v="0"/>
    <n v="992.16"/>
    <n v="6504.16"/>
  </r>
  <r>
    <n v="2025"/>
    <n v="5"/>
    <n v="4"/>
    <n v="754583"/>
    <s v="DATTA JADHAVELRD BREAK"/>
    <s v="TPL CEE"/>
    <s v="EV"/>
    <s v="PUNE"/>
    <x v="0"/>
    <s v="INTEGRATED"/>
    <s v="Service Fees"/>
    <s v="ELERIDE MOBILITY SOLUTIONS PVT LTD"/>
    <s v="BIKE"/>
    <s v="INTEGRATED-IBBN-RC-008583-17"/>
    <s v="7 DAYS"/>
    <n v="97"/>
    <n v="2"/>
    <n v="0"/>
    <n v="69"/>
    <n v="28"/>
    <n v="97"/>
    <n v="7"/>
    <n v="19"/>
    <n v="211.38999938964844"/>
    <n v="50"/>
    <n v="0"/>
    <n v="2475"/>
    <n v="230"/>
    <n v="380"/>
    <n v="0"/>
    <n v="0"/>
    <n v="0"/>
    <n v="0"/>
    <n v="30"/>
    <n v="87"/>
    <n v="0"/>
    <n v="1164"/>
    <n v="0"/>
    <n v="37.204799652099609"/>
    <n v="0"/>
    <n v="0"/>
    <n v="0"/>
    <s v=""/>
    <n v="0"/>
    <s v=""/>
    <n v="4366"/>
    <n v="1891"/>
    <n v="4366"/>
    <n v="4366"/>
    <n v="4366"/>
    <n v="198"/>
    <n v="4564"/>
    <n v="0"/>
    <n v="821.52"/>
    <n v="5385.52"/>
  </r>
  <r>
    <n v="2025"/>
    <n v="5"/>
    <n v="4"/>
    <n v="784832"/>
    <s v="MANJURULLAHKHAN ELERIDE"/>
    <s v="TPL CEE"/>
    <s v="NEV"/>
    <s v="PUNE"/>
    <x v="0"/>
    <s v="INTEGRATED"/>
    <s v="Service Fees"/>
    <s v="ELERIDE MOBILITY SOLUTIONS PVT LTD"/>
    <s v="BIKE"/>
    <s v="INTEGRATED-IBBN-RC-008582-18"/>
    <s v="7 DAYS"/>
    <n v="197"/>
    <n v="2"/>
    <n v="0"/>
    <n v="153"/>
    <n v="44"/>
    <n v="197"/>
    <n v="10"/>
    <n v="27"/>
    <n v="459.02999877929687"/>
    <n v="60"/>
    <n v="0"/>
    <n v="5970"/>
    <n v="160"/>
    <n v="1150"/>
    <n v="0"/>
    <n v="200"/>
    <n v="500"/>
    <n v="0"/>
    <n v="30"/>
    <n v="132"/>
    <n v="2000"/>
    <n v="2955"/>
    <n v="0"/>
    <n v="79.052925109863281"/>
    <n v="0"/>
    <n v="0"/>
    <n v="0"/>
    <s v=""/>
    <n v="0"/>
    <s v=""/>
    <n v="13097"/>
    <n v="7127"/>
    <n v="13097"/>
    <n v="13097"/>
    <n v="13097"/>
    <n v="477.6"/>
    <n v="13574.6"/>
    <n v="0"/>
    <n v="2443.4279999999999"/>
    <n v="16018.028"/>
  </r>
  <r>
    <n v="2025"/>
    <n v="5"/>
    <n v="4"/>
    <n v="791546"/>
    <s v="ADITYAPISE"/>
    <s v="TPL CEE"/>
    <s v="EV"/>
    <s v="PUNE"/>
    <x v="0"/>
    <s v="INTEGRATED"/>
    <s v="Service Fees"/>
    <s v="ELERIDE MOBILITY SOLUTIONS PVT LTD"/>
    <s v="BIKE"/>
    <s v="INTEGRATED-IBBN-RC-008583-17"/>
    <s v="7 DAYS"/>
    <n v="8"/>
    <n v="0"/>
    <n v="0"/>
    <n v="8"/>
    <n v="0"/>
    <n v="8"/>
    <n v="1"/>
    <n v="2"/>
    <n v="13.869999885559082"/>
    <n v="0"/>
    <n v="0"/>
    <n v="200"/>
    <n v="0"/>
    <n v="60"/>
    <n v="0"/>
    <n v="0"/>
    <n v="0"/>
    <n v="0"/>
    <n v="0"/>
    <n v="0"/>
    <n v="0"/>
    <n v="0"/>
    <n v="0"/>
    <n v="3.3641667366027832"/>
    <n v="0"/>
    <n v="0"/>
    <n v="0"/>
    <s v=""/>
    <n v="0"/>
    <s v=""/>
    <n v="260"/>
    <n v="60"/>
    <n v="260"/>
    <n v="260"/>
    <n v="260"/>
    <n v="16"/>
    <n v="276"/>
    <n v="0"/>
    <n v="49.68"/>
    <n v="325.68"/>
  </r>
  <r>
    <n v="2025"/>
    <n v="5"/>
    <n v="4"/>
    <n v="794501"/>
    <s v="MONUJRAJKONWAR"/>
    <s v="TPL CEE"/>
    <s v="LSV"/>
    <s v="PUNE"/>
    <x v="0"/>
    <s v="INTEGRATED"/>
    <s v="Service Fees"/>
    <s v="ELERIDE MOBILITY SOLUTIONS PVT LTD"/>
    <s v="BIKE"/>
    <s v="INTEGRATED-IBBN-RC-008583-17"/>
    <s v="7 DAYS"/>
    <n v="84"/>
    <n v="1"/>
    <n v="0"/>
    <n v="65"/>
    <n v="19"/>
    <n v="84"/>
    <n v="6"/>
    <n v="6"/>
    <n v="183.47000122070313"/>
    <n v="25"/>
    <n v="0"/>
    <n v="2125"/>
    <n v="150"/>
    <n v="370"/>
    <n v="0.30000001192092896"/>
    <n v="0"/>
    <n v="0"/>
    <n v="0"/>
    <n v="0"/>
    <n v="57"/>
    <n v="0"/>
    <n v="420"/>
    <n v="0"/>
    <n v="39.055000305175781"/>
    <n v="0"/>
    <n v="0"/>
    <n v="0"/>
    <s v=""/>
    <n v="0"/>
    <s v=""/>
    <n v="3122.300048828125"/>
    <n v="997.29998779296875"/>
    <n v="3122.300048828125"/>
    <n v="3122.300048828125"/>
    <n v="3122.300048828125"/>
    <n v="170"/>
    <n v="3292.300048828125"/>
    <n v="0"/>
    <n v="592.6140087890625"/>
    <n v="3884.9140576171876"/>
  </r>
  <r>
    <n v="2025"/>
    <n v="5"/>
    <n v="4"/>
    <n v="738700"/>
    <s v="ELERIDEAMAN JADHAV"/>
    <s v="TPL CEE"/>
    <s v="NEV"/>
    <s v="PUNE"/>
    <x v="1"/>
    <s v="INTEGRATED"/>
    <s v="Service Fees"/>
    <s v="ELERIDE MOBILITY SOLUTIONS PVT LTD"/>
    <s v="BIKE"/>
    <s v="INTEGRATED-IBBN-RC-009659-9"/>
    <s v="7 DAYS"/>
    <n v="201"/>
    <n v="2"/>
    <n v="0"/>
    <n v="101"/>
    <n v="100"/>
    <n v="201"/>
    <n v="9"/>
    <n v="26"/>
    <n v="484.89999389648437"/>
    <n v="60"/>
    <n v="0"/>
    <n v="6090"/>
    <n v="280"/>
    <n v="310"/>
    <n v="0"/>
    <n v="0"/>
    <n v="800"/>
    <n v="0"/>
    <n v="0"/>
    <n v="309"/>
    <n v="0"/>
    <n v="3015"/>
    <n v="0"/>
    <n v="68.198112487792969"/>
    <n v="0"/>
    <n v="0"/>
    <n v="0"/>
    <s v=""/>
    <n v="300"/>
    <s v="SADDLEBAG DAMAGED OR NOT SUBMITTED"/>
    <n v="10804"/>
    <n v="4714"/>
    <n v="10804"/>
    <n v="10804"/>
    <n v="10504"/>
    <n v="487.2"/>
    <n v="10991.2"/>
    <n v="0"/>
    <n v="1978.4160000000002"/>
    <n v="12969.616000000002"/>
  </r>
  <r>
    <n v="2025"/>
    <n v="5"/>
    <n v="4"/>
    <n v="793831"/>
    <s v="DAYANANDKALE"/>
    <s v="TPL CEE"/>
    <s v="NEV"/>
    <s v="PUNE"/>
    <x v="1"/>
    <s v="INTEGRATED"/>
    <s v="Service Fees"/>
    <s v="ELERIDE MOBILITY SOLUTIONS PVT LTD"/>
    <s v="BIKE"/>
    <s v="INTEGRATED-IBBN-RC-009659-9"/>
    <s v="7 DAYS"/>
    <n v="52"/>
    <n v="0"/>
    <n v="0"/>
    <n v="25"/>
    <n v="27"/>
    <n v="52"/>
    <n v="5"/>
    <n v="5"/>
    <n v="126.83999633789063"/>
    <n v="0"/>
    <n v="0"/>
    <n v="1560"/>
    <n v="85"/>
    <n v="65"/>
    <n v="0.15000000596046448"/>
    <n v="0"/>
    <n v="0"/>
    <n v="0"/>
    <n v="0"/>
    <n v="81"/>
    <n v="0"/>
    <n v="0"/>
    <n v="0"/>
    <n v="31.7230224609375"/>
    <n v="0"/>
    <n v="0"/>
    <n v="0"/>
    <s v=""/>
    <n v="300"/>
    <s v="SADDLEBAG DAMAGED OR NOT SUBMITTED"/>
    <n v="1791.1500244140625"/>
    <n v="231.14999389648437"/>
    <n v="1791.1500244140625"/>
    <n v="1791.1500244140625"/>
    <n v="1491.1500244140625"/>
    <n v="124.8"/>
    <n v="1615.9500244140625"/>
    <n v="0"/>
    <n v="290.87100439453121"/>
    <n v="1906.8210288085936"/>
  </r>
  <r>
    <n v="2025"/>
    <n v="5"/>
    <n v="4"/>
    <n v="741275"/>
    <s v="NIKHIL RAJU GUPTELERIDE BREAK"/>
    <s v="TPL CEE"/>
    <s v="NEV"/>
    <s v="PUNE"/>
    <x v="2"/>
    <s v="INTEGRATED"/>
    <s v="Service Fees"/>
    <s v="ELERIDE MOBILITY SOLUTIONS PVT LTD"/>
    <s v="BIKE"/>
    <s v="INTEGRATED-IBBN-RC-009931-14"/>
    <s v="7 DAYS"/>
    <n v="214"/>
    <n v="4"/>
    <n v="0"/>
    <n v="146"/>
    <n v="68"/>
    <n v="214"/>
    <n v="10"/>
    <n v="30"/>
    <n v="642.32000732421875"/>
    <n v="120"/>
    <n v="0"/>
    <n v="6540"/>
    <n v="290"/>
    <n v="4400"/>
    <n v="0"/>
    <n v="3120"/>
    <n v="0"/>
    <n v="0"/>
    <n v="30"/>
    <n v="210"/>
    <n v="0"/>
    <n v="800"/>
    <n v="0"/>
    <n v="74.523612976074219"/>
    <n v="0"/>
    <n v="0"/>
    <n v="0"/>
    <s v=""/>
    <n v="35"/>
    <s v="IBND DEDUCTION"/>
    <n v="15390"/>
    <n v="8850"/>
    <n v="15390"/>
    <n v="15390"/>
    <n v="15355"/>
    <n v="523.20000000000005"/>
    <n v="15878.2"/>
    <n v="0"/>
    <n v="2858.076"/>
    <n v="18736.276000000002"/>
  </r>
  <r>
    <n v="2025"/>
    <n v="5"/>
    <n v="4"/>
    <n v="793343"/>
    <s v="AMANJAISWAL"/>
    <s v="TPL CEE"/>
    <s v="LSV"/>
    <s v="PUNE"/>
    <x v="2"/>
    <s v="INTEGRATED"/>
    <s v="Service Fees"/>
    <s v="ELERIDE MOBILITY SOLUTIONS PVT LTD"/>
    <s v="BIKE"/>
    <s v="INTEGRATED-IBBN-RC-009926-14"/>
    <s v="7 DAYS"/>
    <n v="131"/>
    <n v="1"/>
    <n v="4"/>
    <n v="84"/>
    <n v="47"/>
    <n v="135"/>
    <n v="9"/>
    <n v="9"/>
    <n v="433.01998901367187"/>
    <n v="25"/>
    <n v="100"/>
    <n v="3400"/>
    <n v="210"/>
    <n v="2750"/>
    <n v="0.44999998807907104"/>
    <n v="1765"/>
    <n v="0"/>
    <n v="0"/>
    <n v="0"/>
    <n v="144"/>
    <n v="0"/>
    <n v="250"/>
    <n v="0"/>
    <n v="57.497390747070313"/>
    <n v="0"/>
    <n v="0"/>
    <n v="0"/>
    <s v=""/>
    <n v="220"/>
    <s v="IBND DEDUCTION, INCORRECT ORDER ACKNOWLEDGEMENT PROCESS DEVIATION"/>
    <n v="8519.4501953125"/>
    <n v="5119.4501953125"/>
    <n v="8519.4501953125"/>
    <n v="8519.4501953125"/>
    <n v="8299.4501953125"/>
    <n v="272"/>
    <n v="8571.4501953125"/>
    <n v="0"/>
    <n v="1542.86103515625"/>
    <n v="10114.311230468749"/>
  </r>
  <r>
    <n v="2025"/>
    <n v="5"/>
    <n v="4"/>
    <n v="793265"/>
    <s v="AKASH HIVARKARELERIDE MOBILITY"/>
    <s v="TPL CEE"/>
    <s v="NEV"/>
    <s v="PUNE"/>
    <x v="3"/>
    <s v="INTEGRATED"/>
    <s v="Service Fees"/>
    <s v="ELERIDE MOBILITY SOLUTIONS PVT LTD"/>
    <s v="BIKE"/>
    <s v="INTEGRATED-IBBN-RC-012467-4"/>
    <s v="7 DAYS"/>
    <n v="41"/>
    <n v="1"/>
    <n v="0"/>
    <n v="24"/>
    <n v="17"/>
    <n v="41"/>
    <n v="5"/>
    <n v="5"/>
    <n v="84.949996948242188"/>
    <n v="30"/>
    <n v="0"/>
    <n v="1260"/>
    <n v="55"/>
    <n v="105"/>
    <n v="0"/>
    <n v="0"/>
    <n v="0"/>
    <n v="0"/>
    <n v="0"/>
    <n v="57"/>
    <n v="0"/>
    <n v="0"/>
    <n v="0"/>
    <n v="24.95037841796875"/>
    <n v="0"/>
    <n v="0"/>
    <n v="0"/>
    <s v=""/>
    <n v="0"/>
    <s v=""/>
    <n v="1477"/>
    <n v="217"/>
    <n v="1477"/>
    <n v="1477"/>
    <n v="1477"/>
    <n v="100.8"/>
    <n v="1577.8"/>
    <n v="0"/>
    <n v="284.00399999999996"/>
    <n v="1861.8039999999999"/>
  </r>
  <r>
    <n v="2025"/>
    <n v="5"/>
    <n v="4"/>
    <n v="784299"/>
    <s v="IMRANSHAIKH"/>
    <s v="TPL CEE"/>
    <s v="NEV"/>
    <s v="PUNE"/>
    <x v="4"/>
    <s v="INTEGRATED"/>
    <s v="Service Fees"/>
    <s v="ELERIDE MOBILITY SOLUTIONS PVT LTD"/>
    <s v="BIKE"/>
    <s v="INTEGRATED-IBBN-RC-009932-14"/>
    <s v="7 DAYS"/>
    <n v="200"/>
    <n v="12"/>
    <n v="0"/>
    <n v="167"/>
    <n v="33"/>
    <n v="200"/>
    <n v="8"/>
    <n v="21"/>
    <n v="462.95001220703125"/>
    <n v="360"/>
    <n v="0"/>
    <n v="6360"/>
    <n v="465"/>
    <n v="630"/>
    <n v="14.579999923706055"/>
    <n v="550"/>
    <n v="800"/>
    <n v="0"/>
    <n v="0"/>
    <n v="111"/>
    <n v="2000"/>
    <n v="3000"/>
    <n v="0"/>
    <n v="63.703666687011719"/>
    <n v="0"/>
    <n v="0"/>
    <n v="0"/>
    <s v=""/>
    <n v="0"/>
    <s v=""/>
    <n v="13930.580078125"/>
    <n v="7570.580078125"/>
    <n v="13930.580078125"/>
    <n v="13930.580078125"/>
    <n v="13930.580078125"/>
    <n v="508.8"/>
    <n v="14439.380078124999"/>
    <n v="0"/>
    <n v="2599.0884140624999"/>
    <n v="17038.468492187498"/>
  </r>
  <r>
    <n v="2025"/>
    <n v="5"/>
    <n v="4"/>
    <n v="757911"/>
    <s v="ROHAN SUDHKAR CHAVANELRD  BREAK"/>
    <s v="TPL CEE"/>
    <s v="EV"/>
    <s v="PUNE"/>
    <x v="5"/>
    <s v="INTEGRATED"/>
    <s v="Service Fees"/>
    <s v="ELERIDE MOBILITY SOLUTIONS PVT LTD"/>
    <s v="BIKE"/>
    <s v="INTEGRATED-IBBN-RC-011702-5"/>
    <s v="7 DAYS"/>
    <n v="312"/>
    <n v="0"/>
    <n v="0"/>
    <n v="222"/>
    <n v="90"/>
    <n v="312"/>
    <n v="10"/>
    <n v="26"/>
    <n v="527.20001220703125"/>
    <n v="0"/>
    <n v="0"/>
    <n v="7800"/>
    <n v="620"/>
    <n v="1230"/>
    <n v="0"/>
    <n v="1200"/>
    <n v="800"/>
    <n v="0"/>
    <n v="90"/>
    <n v="270"/>
    <n v="0"/>
    <n v="4680"/>
    <n v="0"/>
    <n v="88.393753051757813"/>
    <n v="0"/>
    <n v="0"/>
    <n v="0"/>
    <s v=""/>
    <n v="74.910003662109375"/>
    <s v="IBND DEDUCTION"/>
    <n v="16690"/>
    <n v="8890"/>
    <n v="16690"/>
    <n v="16690"/>
    <n v="16615.08984375"/>
    <n v="624"/>
    <n v="17239.08984375"/>
    <n v="0"/>
    <n v="3103.036171875"/>
    <n v="20342.126015624999"/>
  </r>
  <r>
    <n v="2025"/>
    <n v="5"/>
    <n v="4"/>
    <n v="763173"/>
    <s v="ADESH KUMAR RAWATELERIDE"/>
    <s v="TPL CEE"/>
    <s v="EV"/>
    <s v="PUNE"/>
    <x v="5"/>
    <s v="INTEGRATED"/>
    <s v="Service Fees"/>
    <s v="ELERIDE MOBILITY SOLUTIONS PVT LTD"/>
    <s v="BIKE"/>
    <s v="INTEGRATED-IBBN-RC-011702-5"/>
    <s v="7 DAYS"/>
    <n v="271"/>
    <n v="7"/>
    <n v="6"/>
    <n v="180"/>
    <n v="91"/>
    <n v="277"/>
    <n v="10"/>
    <n v="28"/>
    <n v="456.55999755859375"/>
    <n v="175"/>
    <n v="150"/>
    <n v="7100"/>
    <n v="435"/>
    <n v="3070"/>
    <n v="0"/>
    <n v="1050"/>
    <n v="800"/>
    <n v="0"/>
    <n v="60"/>
    <n v="297"/>
    <n v="0"/>
    <n v="4155"/>
    <n v="0"/>
    <n v="70.151779174804688"/>
    <n v="0"/>
    <n v="0"/>
    <n v="490"/>
    <s v="EXCEPTION - ROUTE ORDER WEIGHT, NIGHT SHIFT MG"/>
    <n v="378"/>
    <s v="SADDLEBAG DAMAGED OR NOT SUBMITTED, ORDER CASH NOT DEPOSITED AT HUB"/>
    <n v="16967"/>
    <n v="9867"/>
    <n v="16967"/>
    <n v="17457"/>
    <n v="17079"/>
    <n v="568"/>
    <n v="17647"/>
    <n v="0"/>
    <n v="3176.46"/>
    <n v="20823.46"/>
  </r>
  <r>
    <n v="2025"/>
    <n v="5"/>
    <n v="4"/>
    <n v="792785"/>
    <s v="ANANDKUMAR"/>
    <s v="TPL CEE"/>
    <s v="LSV"/>
    <s v="PUNE"/>
    <x v="5"/>
    <s v="INTEGRATED"/>
    <s v="Service Fees"/>
    <s v="ELERIDE MOBILITY SOLUTIONS PVT LTD"/>
    <s v="BIKE"/>
    <s v="INTEGRATED-IBBN-RC-011702-5"/>
    <s v="7 DAYS"/>
    <n v="1"/>
    <n v="0"/>
    <n v="0"/>
    <n v="1"/>
    <n v="0"/>
    <n v="1"/>
    <n v="1"/>
    <n v="1"/>
    <n v="2.2300000190734863"/>
    <n v="0"/>
    <n v="0"/>
    <n v="25"/>
    <n v="0"/>
    <n v="10"/>
    <n v="0"/>
    <n v="0"/>
    <n v="0"/>
    <n v="0"/>
    <n v="0"/>
    <n v="0"/>
    <n v="0"/>
    <n v="0"/>
    <n v="0"/>
    <n v="0.96438890695571899"/>
    <n v="0"/>
    <n v="0"/>
    <n v="0"/>
    <s v=""/>
    <n v="0"/>
    <s v=""/>
    <n v="35"/>
    <n v="10"/>
    <n v="35"/>
    <n v="35"/>
    <n v="35"/>
    <n v="2"/>
    <n v="37"/>
    <n v="0"/>
    <n v="6.66"/>
    <n v="43.66"/>
  </r>
  <r>
    <n v="2025"/>
    <n v="5"/>
    <n v="4"/>
    <n v="794453"/>
    <s v="MOHANGETULKAR"/>
    <s v="TPL CEE"/>
    <s v="LSV"/>
    <s v="PUNE"/>
    <x v="5"/>
    <s v="INTEGRATED"/>
    <s v="Service Fees"/>
    <s v="ELERIDE MOBILITY SOLUTIONS PVT LTD"/>
    <s v="BIKE"/>
    <s v="INTEGRATED-IBBN-RC-011702-5"/>
    <s v="7 DAYS"/>
    <n v="50"/>
    <n v="1"/>
    <n v="0"/>
    <n v="50"/>
    <n v="0"/>
    <n v="50"/>
    <n v="4"/>
    <n v="4"/>
    <n v="85.239997863769531"/>
    <n v="25"/>
    <n v="0"/>
    <n v="1275"/>
    <n v="130"/>
    <n v="180"/>
    <n v="0"/>
    <n v="100"/>
    <n v="0"/>
    <n v="0"/>
    <n v="0"/>
    <n v="0"/>
    <n v="0"/>
    <n v="0"/>
    <n v="0"/>
    <n v="17.593778610229492"/>
    <n v="0"/>
    <n v="0"/>
    <n v="0"/>
    <s v=""/>
    <n v="117"/>
    <s v="ORDER CASH NOT DEPOSITED AT HUB"/>
    <n v="1685"/>
    <n v="410"/>
    <n v="1685"/>
    <n v="1685"/>
    <n v="1568"/>
    <n v="102"/>
    <n v="1670"/>
    <n v="0"/>
    <n v="300.59999999999997"/>
    <n v="1970.6"/>
  </r>
  <r>
    <n v="2025"/>
    <n v="5"/>
    <n v="4"/>
    <n v="756418"/>
    <s v="SHUBHAM NANDU SATHEELERD"/>
    <s v="TPL CEE"/>
    <s v="NEV"/>
    <s v="PUNE"/>
    <x v="6"/>
    <s v="INTEGRATED"/>
    <s v="Service Fees"/>
    <s v="ELERIDE MOBILITY SOLUTIONS PVT LTD"/>
    <s v="BIKE"/>
    <s v="default_arrear_rate_card"/>
    <s v="7 DAY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s v="EXCEPTION - PENDING PAYOUT"/>
    <n v="0"/>
    <s v=""/>
    <n v="0"/>
    <n v="0"/>
    <n v="0"/>
    <n v="220"/>
    <n v="220"/>
    <n v="0"/>
    <n v="220"/>
    <n v="0"/>
    <n v="39.6"/>
    <n v="259.60000000000002"/>
  </r>
  <r>
    <n v="2025"/>
    <n v="5"/>
    <n v="4"/>
    <n v="780996"/>
    <s v="GAURAOJAISWAL"/>
    <s v="TPL CEE"/>
    <s v="EV"/>
    <s v="PUNE"/>
    <x v="7"/>
    <s v="INTEGRATED"/>
    <s v="Service Fees"/>
    <s v="ELERIDE MOBILITY SOLUTIONS PVT LTD"/>
    <s v="BIKE"/>
    <s v="INTEGRATED-IBBN-RC-013235-6"/>
    <s v="7 DAYS"/>
    <n v="2"/>
    <n v="0"/>
    <n v="0"/>
    <n v="0"/>
    <n v="2"/>
    <n v="2"/>
    <n v="1"/>
    <n v="13"/>
    <n v="6.2199997901916504"/>
    <n v="0"/>
    <n v="0"/>
    <n v="50"/>
    <n v="0"/>
    <n v="10"/>
    <n v="0"/>
    <n v="0"/>
    <n v="0"/>
    <n v="0"/>
    <n v="0"/>
    <n v="6"/>
    <n v="0"/>
    <n v="0"/>
    <n v="0"/>
    <n v="1.0115000009536743"/>
    <n v="0"/>
    <n v="0"/>
    <n v="0"/>
    <s v=""/>
    <n v="0"/>
    <s v=""/>
    <n v="66"/>
    <n v="16"/>
    <n v="66"/>
    <n v="66"/>
    <n v="66"/>
    <n v="4"/>
    <n v="70"/>
    <n v="0"/>
    <n v="12.6"/>
    <n v="82.6"/>
  </r>
  <r>
    <n v="2025"/>
    <n v="5"/>
    <n v="4"/>
    <n v="756144"/>
    <s v="SACHIN NAYASE7350987782"/>
    <s v="TPL CEE"/>
    <s v="NEV"/>
    <s v="PUNE"/>
    <x v="8"/>
    <s v="INTEGRATED"/>
    <s v="Service Fees"/>
    <s v="ELERIDE MOBILITY SOLUTIONS PVT LTD"/>
    <s v="BIKE"/>
    <s v="INTEGRATED-IBBN-RC-009587-13"/>
    <s v="7 DAYS"/>
    <n v="226"/>
    <n v="4"/>
    <n v="0"/>
    <n v="156"/>
    <n v="70"/>
    <n v="226"/>
    <n v="9"/>
    <n v="29"/>
    <n v="453.3900146484375"/>
    <n v="120"/>
    <n v="0"/>
    <n v="6900"/>
    <n v="610"/>
    <n v="365"/>
    <n v="0.38999998569488525"/>
    <n v="0"/>
    <n v="800"/>
    <n v="0"/>
    <n v="0"/>
    <n v="213"/>
    <n v="0"/>
    <n v="3390"/>
    <n v="0"/>
    <n v="81"/>
    <n v="0"/>
    <n v="0"/>
    <n v="0"/>
    <s v=""/>
    <n v="0"/>
    <s v=""/>
    <n v="12278.3896484375"/>
    <n v="5378.39013671875"/>
    <n v="12278.3896484375"/>
    <n v="12278.3896484375"/>
    <n v="12278.3896484375"/>
    <n v="552"/>
    <n v="12830.3896484375"/>
    <n v="0"/>
    <n v="2309.4701367187499"/>
    <n v="15139.85978515625"/>
  </r>
  <r>
    <n v="2025"/>
    <n v="5"/>
    <n v="4"/>
    <n v="786490"/>
    <s v="SANTOSH NAYASE7517557492"/>
    <s v="TPL CEE"/>
    <s v="LSV"/>
    <s v="PUNE"/>
    <x v="8"/>
    <s v="INTEGRATED"/>
    <s v="Service Fees"/>
    <s v="ELERIDE MOBILITY SOLUTIONS PVT LTD"/>
    <s v="BIKE"/>
    <s v="INTEGRATED-IBBN-RC-009586-12"/>
    <s v="7 DAYS"/>
    <n v="228"/>
    <n v="5"/>
    <n v="0"/>
    <n v="153"/>
    <n v="75"/>
    <n v="228"/>
    <n v="10"/>
    <n v="23"/>
    <n v="417.989990234375"/>
    <n v="125"/>
    <n v="0"/>
    <n v="5825"/>
    <n v="540"/>
    <n v="505"/>
    <n v="0"/>
    <n v="0"/>
    <n v="800"/>
    <n v="0"/>
    <n v="0"/>
    <n v="231"/>
    <n v="0"/>
    <n v="3420"/>
    <n v="0"/>
    <n v="81.517166137695313"/>
    <n v="0"/>
    <n v="0"/>
    <n v="0"/>
    <s v=""/>
    <n v="77"/>
    <s v="IBND DEDUCTION"/>
    <n v="11321"/>
    <n v="5496"/>
    <n v="11321"/>
    <n v="11321"/>
    <n v="11244"/>
    <n v="466"/>
    <n v="11710"/>
    <n v="0"/>
    <n v="2107.7999999999997"/>
    <n v="13817.8"/>
  </r>
  <r>
    <m/>
    <m/>
    <m/>
    <m/>
    <m/>
    <m/>
    <m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4" firstHeaderRow="0" firstDataRow="1" firstDataCol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8" baseItem="0"/>
    <dataField name="Sum of total_with_arrears_and_deductions" fld="49" baseField="8" baseItem="0"/>
    <dataField name="Sum of management_fee" fld="50" baseField="8" baseItem="0"/>
    <dataField name="Sum of total_with_management_fee" fld="51" baseField="8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topLeftCell="B11" workbookViewId="0">
      <selection activeCell="D19" sqref="D19:E27"/>
    </sheetView>
  </sheetViews>
  <sheetFormatPr defaultRowHeight="14.25"/>
  <cols>
    <col min="1" max="1" width="27" bestFit="1" customWidth="1"/>
    <col min="2" max="2" width="23.25" customWidth="1"/>
    <col min="3" max="3" width="39.375" customWidth="1"/>
    <col min="4" max="4" width="23" customWidth="1"/>
    <col min="5" max="5" width="32.75" customWidth="1"/>
  </cols>
  <sheetData>
    <row r="3" spans="1:5">
      <c r="A3" s="20" t="s">
        <v>163</v>
      </c>
      <c r="B3" t="s">
        <v>166</v>
      </c>
      <c r="C3" t="s">
        <v>167</v>
      </c>
      <c r="D3" t="s">
        <v>168</v>
      </c>
      <c r="E3" t="s">
        <v>169</v>
      </c>
    </row>
    <row r="4" spans="1:5">
      <c r="A4" s="21" t="s">
        <v>59</v>
      </c>
      <c r="B4" s="22">
        <v>612</v>
      </c>
      <c r="C4" s="22">
        <v>29605.300048828125</v>
      </c>
      <c r="D4" s="22">
        <v>1331.6</v>
      </c>
      <c r="E4" s="22">
        <v>30936.900048828124</v>
      </c>
    </row>
    <row r="5" spans="1:5">
      <c r="A5" s="21" t="s">
        <v>79</v>
      </c>
      <c r="B5" s="22">
        <v>253</v>
      </c>
      <c r="C5" s="22">
        <v>11995.150024414063</v>
      </c>
      <c r="D5" s="22">
        <v>612</v>
      </c>
      <c r="E5" s="22">
        <v>12607.150024414063</v>
      </c>
    </row>
    <row r="6" spans="1:5">
      <c r="A6" s="21" t="s">
        <v>84</v>
      </c>
      <c r="B6" s="22">
        <v>345</v>
      </c>
      <c r="C6" s="22">
        <v>23654.4501953125</v>
      </c>
      <c r="D6" s="22">
        <v>795.2</v>
      </c>
      <c r="E6" s="22">
        <v>24449.650195312501</v>
      </c>
    </row>
    <row r="7" spans="1:5">
      <c r="A7" s="21" t="s">
        <v>90</v>
      </c>
      <c r="B7" s="22">
        <v>41</v>
      </c>
      <c r="C7" s="22">
        <v>1477</v>
      </c>
      <c r="D7" s="22">
        <v>100.8</v>
      </c>
      <c r="E7" s="22">
        <v>1577.8</v>
      </c>
    </row>
    <row r="8" spans="1:5">
      <c r="A8" s="21" t="s">
        <v>93</v>
      </c>
      <c r="B8" s="22">
        <v>200</v>
      </c>
      <c r="C8" s="22">
        <v>13930.580078125</v>
      </c>
      <c r="D8" s="22">
        <v>508.8</v>
      </c>
      <c r="E8" s="22">
        <v>14439.380078124999</v>
      </c>
    </row>
    <row r="9" spans="1:5">
      <c r="A9" s="21" t="s">
        <v>96</v>
      </c>
      <c r="B9" s="22">
        <v>634</v>
      </c>
      <c r="C9" s="22">
        <v>35297.08984375</v>
      </c>
      <c r="D9" s="22">
        <v>1296</v>
      </c>
      <c r="E9" s="22">
        <v>36593.08984375</v>
      </c>
    </row>
    <row r="10" spans="1:5">
      <c r="A10" s="21" t="s">
        <v>105</v>
      </c>
      <c r="B10" s="22">
        <v>0</v>
      </c>
      <c r="C10" s="22">
        <v>220</v>
      </c>
      <c r="D10" s="22">
        <v>0</v>
      </c>
      <c r="E10" s="22">
        <v>220</v>
      </c>
    </row>
    <row r="11" spans="1:5">
      <c r="A11" s="21" t="s">
        <v>109</v>
      </c>
      <c r="B11" s="22">
        <v>2</v>
      </c>
      <c r="C11" s="22">
        <v>66</v>
      </c>
      <c r="D11" s="22">
        <v>4</v>
      </c>
      <c r="E11" s="22">
        <v>70</v>
      </c>
    </row>
    <row r="12" spans="1:5">
      <c r="A12" s="21" t="s">
        <v>112</v>
      </c>
      <c r="B12" s="22">
        <v>454</v>
      </c>
      <c r="C12" s="22">
        <v>23522.3896484375</v>
      </c>
      <c r="D12" s="22">
        <v>1018</v>
      </c>
      <c r="E12" s="22">
        <v>24540.3896484375</v>
      </c>
    </row>
    <row r="13" spans="1:5">
      <c r="A13" s="21" t="s">
        <v>164</v>
      </c>
      <c r="B13" s="22"/>
      <c r="C13" s="22"/>
      <c r="D13" s="22"/>
      <c r="E13" s="22"/>
    </row>
    <row r="14" spans="1:5">
      <c r="A14" s="21" t="s">
        <v>165</v>
      </c>
      <c r="B14" s="22">
        <v>2541</v>
      </c>
      <c r="C14" s="22">
        <v>139767.95983886719</v>
      </c>
      <c r="D14" s="22">
        <v>5666.4000000000005</v>
      </c>
      <c r="E14" s="22">
        <v>145434.35983886721</v>
      </c>
    </row>
    <row r="18" spans="1:9">
      <c r="A18" t="s">
        <v>163</v>
      </c>
      <c r="B18" t="s">
        <v>166</v>
      </c>
      <c r="C18" t="s">
        <v>167</v>
      </c>
      <c r="D18" t="s">
        <v>168</v>
      </c>
      <c r="E18" t="s">
        <v>169</v>
      </c>
    </row>
    <row r="19" spans="1:9">
      <c r="A19" t="s">
        <v>59</v>
      </c>
      <c r="B19" s="23">
        <v>612</v>
      </c>
      <c r="C19" s="23">
        <v>29605.300048828125</v>
      </c>
      <c r="D19" s="23">
        <v>1331.6</v>
      </c>
      <c r="E19" s="23">
        <v>30936.900048828124</v>
      </c>
      <c r="G19" s="24">
        <v>29605.300048828125</v>
      </c>
      <c r="H19" s="24"/>
      <c r="I19" s="24"/>
    </row>
    <row r="20" spans="1:9">
      <c r="A20" t="s">
        <v>79</v>
      </c>
      <c r="B20" s="23">
        <v>253</v>
      </c>
      <c r="C20" s="23">
        <v>11995.150024414063</v>
      </c>
      <c r="D20" s="23">
        <v>612</v>
      </c>
      <c r="E20" s="23">
        <v>12607.150024414063</v>
      </c>
      <c r="G20" s="24">
        <v>11995.150024414063</v>
      </c>
      <c r="H20" s="24"/>
      <c r="I20" s="24"/>
    </row>
    <row r="21" spans="1:9">
      <c r="A21" t="s">
        <v>84</v>
      </c>
      <c r="B21" s="23">
        <v>345</v>
      </c>
      <c r="C21" s="23">
        <v>23654.4501953125</v>
      </c>
      <c r="D21" s="23">
        <v>795.2</v>
      </c>
      <c r="E21" s="23">
        <v>24449.650195312501</v>
      </c>
      <c r="G21" s="24">
        <v>23654.4501953125</v>
      </c>
      <c r="H21" s="24"/>
      <c r="I21" s="24"/>
    </row>
    <row r="22" spans="1:9">
      <c r="A22" t="s">
        <v>90</v>
      </c>
      <c r="B22" s="23">
        <v>41</v>
      </c>
      <c r="C22" s="23">
        <v>1477</v>
      </c>
      <c r="D22" s="23">
        <v>100.8</v>
      </c>
      <c r="E22" s="23">
        <v>1577.8</v>
      </c>
      <c r="G22" s="24">
        <v>1477</v>
      </c>
      <c r="H22" s="24"/>
      <c r="I22" s="24"/>
    </row>
    <row r="23" spans="1:9">
      <c r="A23" t="s">
        <v>93</v>
      </c>
      <c r="B23" s="23">
        <v>200</v>
      </c>
      <c r="C23" s="23">
        <v>13930.580078125</v>
      </c>
      <c r="D23" s="23">
        <v>508.8</v>
      </c>
      <c r="E23" s="23">
        <v>14439.380078124999</v>
      </c>
      <c r="G23" s="24">
        <v>13930.580078125</v>
      </c>
      <c r="H23" s="24"/>
      <c r="I23" s="24"/>
    </row>
    <row r="24" spans="1:9">
      <c r="A24" t="s">
        <v>96</v>
      </c>
      <c r="B24" s="23">
        <v>634</v>
      </c>
      <c r="C24" s="23">
        <v>35297.08984375</v>
      </c>
      <c r="D24" s="23">
        <v>1296</v>
      </c>
      <c r="E24" s="23">
        <v>36593.08984375</v>
      </c>
      <c r="G24" s="24">
        <v>35297.08984375</v>
      </c>
      <c r="H24" s="24"/>
      <c r="I24" s="24"/>
    </row>
    <row r="25" spans="1:9">
      <c r="A25" t="s">
        <v>105</v>
      </c>
      <c r="B25" s="23">
        <v>0</v>
      </c>
      <c r="C25" s="23">
        <v>220</v>
      </c>
      <c r="D25" s="23">
        <v>0</v>
      </c>
      <c r="E25" s="23">
        <v>220</v>
      </c>
      <c r="G25" s="24">
        <v>220</v>
      </c>
      <c r="H25" s="24"/>
      <c r="I25" s="24"/>
    </row>
    <row r="26" spans="1:9">
      <c r="A26" t="s">
        <v>109</v>
      </c>
      <c r="B26" s="23">
        <v>2</v>
      </c>
      <c r="C26" s="23">
        <v>66</v>
      </c>
      <c r="D26" s="23">
        <v>4</v>
      </c>
      <c r="E26" s="23">
        <v>70</v>
      </c>
      <c r="G26" s="24">
        <v>66</v>
      </c>
      <c r="H26" s="24"/>
      <c r="I26" s="24"/>
    </row>
    <row r="27" spans="1:9">
      <c r="A27" t="s">
        <v>112</v>
      </c>
      <c r="B27" s="23">
        <v>454</v>
      </c>
      <c r="C27" s="23">
        <v>23522.3896484375</v>
      </c>
      <c r="D27" s="23">
        <v>1018</v>
      </c>
      <c r="E27" s="23">
        <v>24540.3896484375</v>
      </c>
      <c r="G27" s="24">
        <v>23522.3896484375</v>
      </c>
      <c r="H27" s="24"/>
      <c r="I27" s="24"/>
    </row>
    <row r="28" spans="1:9">
      <c r="A28" t="s">
        <v>164</v>
      </c>
      <c r="B28" s="23"/>
      <c r="C28" s="23"/>
      <c r="D28" s="23"/>
      <c r="E28" s="23"/>
    </row>
    <row r="29" spans="1:9">
      <c r="A29" t="s">
        <v>165</v>
      </c>
      <c r="B29" s="23">
        <v>2541</v>
      </c>
      <c r="C29" s="23">
        <v>139767.95983886719</v>
      </c>
      <c r="D29" s="23">
        <v>5666.4000000000005</v>
      </c>
      <c r="E29" s="23">
        <v>145434.35983886721</v>
      </c>
    </row>
  </sheetData>
  <mergeCells count="9">
    <mergeCell ref="G25:I25"/>
    <mergeCell ref="G26:I26"/>
    <mergeCell ref="G27:I27"/>
    <mergeCell ref="G19:I19"/>
    <mergeCell ref="G20:I20"/>
    <mergeCell ref="G21:I21"/>
    <mergeCell ref="G22:I22"/>
    <mergeCell ref="G23:I23"/>
    <mergeCell ref="G24:I2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"/>
  <sheetViews>
    <sheetView tabSelected="1" workbookViewId="0">
      <selection activeCell="E11" sqref="E11"/>
    </sheetView>
  </sheetViews>
  <sheetFormatPr defaultRowHeight="14.25"/>
  <cols>
    <col min="5" max="5" width="37.5" bestFit="1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2025</v>
      </c>
      <c r="B2" s="2">
        <v>5</v>
      </c>
      <c r="C2" s="2">
        <v>4</v>
      </c>
      <c r="D2" s="2">
        <v>735193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2">
        <v>63</v>
      </c>
      <c r="Q2" s="2">
        <v>2</v>
      </c>
      <c r="R2" s="2">
        <v>0</v>
      </c>
      <c r="S2" s="2">
        <v>55</v>
      </c>
      <c r="T2" s="2">
        <v>8</v>
      </c>
      <c r="U2" s="2">
        <v>63</v>
      </c>
      <c r="V2" s="2">
        <v>6</v>
      </c>
      <c r="W2" s="2">
        <v>21</v>
      </c>
      <c r="X2" s="3">
        <v>144.55000305175781</v>
      </c>
      <c r="Y2" s="2">
        <v>50</v>
      </c>
      <c r="Z2" s="2">
        <v>0</v>
      </c>
      <c r="AA2" s="2">
        <v>1625</v>
      </c>
      <c r="AB2" s="2">
        <v>115</v>
      </c>
      <c r="AC2" s="2">
        <v>210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24</v>
      </c>
      <c r="AJ2" s="2">
        <v>0</v>
      </c>
      <c r="AK2" s="2">
        <v>0</v>
      </c>
      <c r="AL2" s="2">
        <v>0</v>
      </c>
      <c r="AM2" s="3">
        <v>26.566967010498047</v>
      </c>
      <c r="AN2" s="2">
        <v>0</v>
      </c>
      <c r="AO2" s="2">
        <v>0</v>
      </c>
      <c r="AP2" s="2">
        <v>0</v>
      </c>
      <c r="AQ2" s="1" t="s">
        <v>66</v>
      </c>
      <c r="AR2" s="2">
        <v>90</v>
      </c>
      <c r="AS2" s="1" t="s">
        <v>67</v>
      </c>
      <c r="AT2" s="2">
        <v>1974</v>
      </c>
      <c r="AU2" s="2">
        <v>349</v>
      </c>
      <c r="AV2" s="2">
        <v>1974</v>
      </c>
      <c r="AW2" s="2">
        <v>1974</v>
      </c>
      <c r="AX2" s="2">
        <v>1884</v>
      </c>
      <c r="AY2" s="3">
        <v>130</v>
      </c>
      <c r="AZ2" s="3">
        <v>2014</v>
      </c>
      <c r="BA2" s="2">
        <v>0</v>
      </c>
      <c r="BB2" s="3">
        <v>362.52</v>
      </c>
      <c r="BC2" s="3">
        <v>2376.52</v>
      </c>
    </row>
    <row r="3" spans="1:55">
      <c r="A3" s="2">
        <v>2025</v>
      </c>
      <c r="B3" s="2">
        <v>5</v>
      </c>
      <c r="C3" s="2">
        <v>4</v>
      </c>
      <c r="D3" s="2">
        <v>744645</v>
      </c>
      <c r="E3" s="1" t="s">
        <v>68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2">
        <v>45</v>
      </c>
      <c r="Q3" s="2">
        <v>2</v>
      </c>
      <c r="R3" s="2">
        <v>0</v>
      </c>
      <c r="S3" s="2">
        <v>27</v>
      </c>
      <c r="T3" s="2">
        <v>18</v>
      </c>
      <c r="U3" s="2">
        <v>45</v>
      </c>
      <c r="V3" s="2">
        <v>4</v>
      </c>
      <c r="W3" s="2">
        <v>19</v>
      </c>
      <c r="X3" s="3">
        <v>110.13999938964844</v>
      </c>
      <c r="Y3" s="2">
        <v>50</v>
      </c>
      <c r="Z3" s="2">
        <v>0</v>
      </c>
      <c r="AA3" s="2">
        <v>1175</v>
      </c>
      <c r="AB3" s="2">
        <v>110</v>
      </c>
      <c r="AC3" s="2">
        <v>80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54</v>
      </c>
      <c r="AJ3" s="2">
        <v>0</v>
      </c>
      <c r="AK3" s="2">
        <v>0</v>
      </c>
      <c r="AL3" s="2">
        <v>0</v>
      </c>
      <c r="AM3" s="3">
        <v>19.61015510559082</v>
      </c>
      <c r="AN3" s="2">
        <v>0</v>
      </c>
      <c r="AO3" s="2">
        <v>0</v>
      </c>
      <c r="AP3" s="2">
        <v>0</v>
      </c>
      <c r="AQ3" s="1" t="s">
        <v>66</v>
      </c>
      <c r="AR3" s="2">
        <v>0</v>
      </c>
      <c r="AS3" s="1" t="s">
        <v>66</v>
      </c>
      <c r="AT3" s="2">
        <v>1419</v>
      </c>
      <c r="AU3" s="2">
        <v>244</v>
      </c>
      <c r="AV3" s="2">
        <v>1419</v>
      </c>
      <c r="AW3" s="2">
        <v>1419</v>
      </c>
      <c r="AX3" s="2">
        <v>1419</v>
      </c>
      <c r="AY3" s="3">
        <v>94</v>
      </c>
      <c r="AZ3" s="3">
        <v>1513</v>
      </c>
      <c r="BA3" s="2">
        <v>0</v>
      </c>
      <c r="BB3" s="3">
        <v>272.33999999999997</v>
      </c>
      <c r="BC3" s="3">
        <v>1785.34</v>
      </c>
    </row>
    <row r="4" spans="1:55">
      <c r="A4" s="2">
        <v>2025</v>
      </c>
      <c r="B4" s="2">
        <v>5</v>
      </c>
      <c r="C4" s="2">
        <v>4</v>
      </c>
      <c r="D4" s="2">
        <v>746897</v>
      </c>
      <c r="E4" s="1" t="s">
        <v>69</v>
      </c>
      <c r="F4" s="1" t="s">
        <v>56</v>
      </c>
      <c r="G4" s="1" t="s">
        <v>70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71</v>
      </c>
      <c r="O4" s="1" t="s">
        <v>65</v>
      </c>
      <c r="P4" s="2">
        <v>5</v>
      </c>
      <c r="Q4" s="2">
        <v>0</v>
      </c>
      <c r="R4" s="2">
        <v>0</v>
      </c>
      <c r="S4" s="2">
        <v>2</v>
      </c>
      <c r="T4" s="2">
        <v>3</v>
      </c>
      <c r="U4" s="2">
        <v>5</v>
      </c>
      <c r="V4" s="2">
        <v>2</v>
      </c>
      <c r="W4" s="2">
        <v>17</v>
      </c>
      <c r="X4" s="3">
        <v>13.789999961853027</v>
      </c>
      <c r="Y4" s="2">
        <v>0</v>
      </c>
      <c r="Z4" s="2">
        <v>0</v>
      </c>
      <c r="AA4" s="2">
        <v>150</v>
      </c>
      <c r="AB4" s="2">
        <v>0</v>
      </c>
      <c r="AC4" s="2">
        <v>20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9</v>
      </c>
      <c r="AJ4" s="2">
        <v>0</v>
      </c>
      <c r="AK4" s="2">
        <v>0</v>
      </c>
      <c r="AL4" s="2">
        <v>0</v>
      </c>
      <c r="AM4" s="3">
        <v>2.3136110305786133</v>
      </c>
      <c r="AN4" s="2">
        <v>0</v>
      </c>
      <c r="AO4" s="2">
        <v>0</v>
      </c>
      <c r="AP4" s="2">
        <v>0</v>
      </c>
      <c r="AQ4" s="1" t="s">
        <v>66</v>
      </c>
      <c r="AR4" s="2">
        <v>0</v>
      </c>
      <c r="AS4" s="1" t="s">
        <v>66</v>
      </c>
      <c r="AT4" s="2">
        <v>179</v>
      </c>
      <c r="AU4" s="2">
        <v>29</v>
      </c>
      <c r="AV4" s="2">
        <v>179</v>
      </c>
      <c r="AW4" s="2">
        <v>179</v>
      </c>
      <c r="AX4" s="2">
        <v>179</v>
      </c>
      <c r="AY4" s="3">
        <v>12</v>
      </c>
      <c r="AZ4" s="3">
        <v>191</v>
      </c>
      <c r="BA4" s="2">
        <v>0</v>
      </c>
      <c r="BB4" s="3">
        <v>34.379999999999995</v>
      </c>
      <c r="BC4" s="3">
        <v>225.38</v>
      </c>
    </row>
    <row r="5" spans="1:55">
      <c r="A5" s="2">
        <v>2025</v>
      </c>
      <c r="B5" s="2">
        <v>5</v>
      </c>
      <c r="C5" s="2">
        <v>4</v>
      </c>
      <c r="D5" s="2">
        <v>753406</v>
      </c>
      <c r="E5" s="1" t="s">
        <v>72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2">
        <v>113</v>
      </c>
      <c r="Q5" s="2">
        <v>4</v>
      </c>
      <c r="R5" s="2">
        <v>0</v>
      </c>
      <c r="S5" s="2">
        <v>95</v>
      </c>
      <c r="T5" s="2">
        <v>18</v>
      </c>
      <c r="U5" s="2">
        <v>113</v>
      </c>
      <c r="V5" s="2">
        <v>9</v>
      </c>
      <c r="W5" s="2">
        <v>26</v>
      </c>
      <c r="X5" s="3">
        <v>270.48001098632812</v>
      </c>
      <c r="Y5" s="2">
        <v>100</v>
      </c>
      <c r="Z5" s="2">
        <v>0</v>
      </c>
      <c r="AA5" s="2">
        <v>2925</v>
      </c>
      <c r="AB5" s="2">
        <v>130</v>
      </c>
      <c r="AC5" s="2">
        <v>560</v>
      </c>
      <c r="AD5" s="2">
        <v>0</v>
      </c>
      <c r="AE5" s="2">
        <v>300</v>
      </c>
      <c r="AF5" s="2">
        <v>250</v>
      </c>
      <c r="AG5" s="2">
        <v>0</v>
      </c>
      <c r="AH5" s="2">
        <v>0</v>
      </c>
      <c r="AI5" s="2">
        <v>57</v>
      </c>
      <c r="AJ5" s="2">
        <v>0</v>
      </c>
      <c r="AK5" s="2">
        <v>1356</v>
      </c>
      <c r="AL5" s="2">
        <v>0</v>
      </c>
      <c r="AM5" s="3">
        <v>44.905509948730469</v>
      </c>
      <c r="AN5" s="2">
        <v>0</v>
      </c>
      <c r="AO5" s="2">
        <v>0</v>
      </c>
      <c r="AP5" s="2">
        <v>0</v>
      </c>
      <c r="AQ5" s="1" t="s">
        <v>66</v>
      </c>
      <c r="AR5" s="2">
        <v>300</v>
      </c>
      <c r="AS5" s="1" t="s">
        <v>67</v>
      </c>
      <c r="AT5" s="2">
        <v>5578</v>
      </c>
      <c r="AU5" s="2">
        <v>2653</v>
      </c>
      <c r="AV5" s="2">
        <v>5578</v>
      </c>
      <c r="AW5" s="2">
        <v>5578</v>
      </c>
      <c r="AX5" s="2">
        <v>5278</v>
      </c>
      <c r="AY5" s="3">
        <v>234</v>
      </c>
      <c r="AZ5" s="3">
        <v>5512</v>
      </c>
      <c r="BA5" s="2">
        <v>0</v>
      </c>
      <c r="BB5" s="3">
        <v>992.16</v>
      </c>
      <c r="BC5" s="3">
        <v>6504.16</v>
      </c>
    </row>
    <row r="6" spans="1:55">
      <c r="A6" s="2">
        <v>2025</v>
      </c>
      <c r="B6" s="2">
        <v>5</v>
      </c>
      <c r="C6" s="2">
        <v>4</v>
      </c>
      <c r="D6" s="2">
        <v>754583</v>
      </c>
      <c r="E6" s="1" t="s">
        <v>73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  <c r="P6" s="2">
        <v>97</v>
      </c>
      <c r="Q6" s="2">
        <v>2</v>
      </c>
      <c r="R6" s="2">
        <v>0</v>
      </c>
      <c r="S6" s="2">
        <v>69</v>
      </c>
      <c r="T6" s="2">
        <v>28</v>
      </c>
      <c r="U6" s="2">
        <v>97</v>
      </c>
      <c r="V6" s="2">
        <v>7</v>
      </c>
      <c r="W6" s="2">
        <v>19</v>
      </c>
      <c r="X6" s="3">
        <v>211.38999938964844</v>
      </c>
      <c r="Y6" s="2">
        <v>50</v>
      </c>
      <c r="Z6" s="2">
        <v>0</v>
      </c>
      <c r="AA6" s="2">
        <v>2475</v>
      </c>
      <c r="AB6" s="2">
        <v>230</v>
      </c>
      <c r="AC6" s="2">
        <v>380</v>
      </c>
      <c r="AD6" s="2">
        <v>0</v>
      </c>
      <c r="AE6" s="2">
        <v>0</v>
      </c>
      <c r="AF6" s="2">
        <v>0</v>
      </c>
      <c r="AG6" s="2">
        <v>0</v>
      </c>
      <c r="AH6" s="2">
        <v>30</v>
      </c>
      <c r="AI6" s="2">
        <v>87</v>
      </c>
      <c r="AJ6" s="2">
        <v>0</v>
      </c>
      <c r="AK6" s="2">
        <v>1164</v>
      </c>
      <c r="AL6" s="2">
        <v>0</v>
      </c>
      <c r="AM6" s="3">
        <v>37.204799652099609</v>
      </c>
      <c r="AN6" s="2">
        <v>0</v>
      </c>
      <c r="AO6" s="2">
        <v>0</v>
      </c>
      <c r="AP6" s="2">
        <v>0</v>
      </c>
      <c r="AQ6" s="1" t="s">
        <v>66</v>
      </c>
      <c r="AR6" s="2">
        <v>0</v>
      </c>
      <c r="AS6" s="1" t="s">
        <v>66</v>
      </c>
      <c r="AT6" s="2">
        <v>4366</v>
      </c>
      <c r="AU6" s="2">
        <v>1891</v>
      </c>
      <c r="AV6" s="2">
        <v>4366</v>
      </c>
      <c r="AW6" s="2">
        <v>4366</v>
      </c>
      <c r="AX6" s="2">
        <v>4366</v>
      </c>
      <c r="AY6" s="3">
        <v>198</v>
      </c>
      <c r="AZ6" s="3">
        <v>4564</v>
      </c>
      <c r="BA6" s="2">
        <v>0</v>
      </c>
      <c r="BB6" s="3">
        <v>821.52</v>
      </c>
      <c r="BC6" s="3">
        <v>5385.52</v>
      </c>
    </row>
    <row r="7" spans="1:55">
      <c r="A7" s="2">
        <v>2025</v>
      </c>
      <c r="B7" s="2">
        <v>5</v>
      </c>
      <c r="C7" s="2">
        <v>4</v>
      </c>
      <c r="D7" s="2">
        <v>784832</v>
      </c>
      <c r="E7" s="1" t="s">
        <v>74</v>
      </c>
      <c r="F7" s="1" t="s">
        <v>56</v>
      </c>
      <c r="G7" s="1" t="s">
        <v>70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71</v>
      </c>
      <c r="O7" s="1" t="s">
        <v>65</v>
      </c>
      <c r="P7" s="2">
        <v>197</v>
      </c>
      <c r="Q7" s="2">
        <v>2</v>
      </c>
      <c r="R7" s="2">
        <v>0</v>
      </c>
      <c r="S7" s="2">
        <v>153</v>
      </c>
      <c r="T7" s="2">
        <v>44</v>
      </c>
      <c r="U7" s="2">
        <v>197</v>
      </c>
      <c r="V7" s="2">
        <v>10</v>
      </c>
      <c r="W7" s="2">
        <v>27</v>
      </c>
      <c r="X7" s="3">
        <v>459.02999877929687</v>
      </c>
      <c r="Y7" s="2">
        <v>60</v>
      </c>
      <c r="Z7" s="2">
        <v>0</v>
      </c>
      <c r="AA7" s="2">
        <v>5970</v>
      </c>
      <c r="AB7" s="2">
        <v>160</v>
      </c>
      <c r="AC7" s="2">
        <v>1150</v>
      </c>
      <c r="AD7" s="2">
        <v>0</v>
      </c>
      <c r="AE7" s="2">
        <v>200</v>
      </c>
      <c r="AF7" s="2">
        <v>500</v>
      </c>
      <c r="AG7" s="2">
        <v>0</v>
      </c>
      <c r="AH7" s="2">
        <v>30</v>
      </c>
      <c r="AI7" s="2">
        <v>132</v>
      </c>
      <c r="AJ7" s="2">
        <v>2000</v>
      </c>
      <c r="AK7" s="2">
        <v>2955</v>
      </c>
      <c r="AL7" s="2">
        <v>0</v>
      </c>
      <c r="AM7" s="3">
        <v>79.052925109863281</v>
      </c>
      <c r="AN7" s="2">
        <v>0</v>
      </c>
      <c r="AO7" s="2">
        <v>0</v>
      </c>
      <c r="AP7" s="2">
        <v>0</v>
      </c>
      <c r="AQ7" s="1" t="s">
        <v>66</v>
      </c>
      <c r="AR7" s="2">
        <v>0</v>
      </c>
      <c r="AS7" s="1" t="s">
        <v>66</v>
      </c>
      <c r="AT7" s="2">
        <v>13097</v>
      </c>
      <c r="AU7" s="2">
        <v>7127</v>
      </c>
      <c r="AV7" s="2">
        <v>13097</v>
      </c>
      <c r="AW7" s="2">
        <v>13097</v>
      </c>
      <c r="AX7" s="2">
        <v>13097</v>
      </c>
      <c r="AY7" s="3">
        <v>477.6</v>
      </c>
      <c r="AZ7" s="3">
        <v>13574.6</v>
      </c>
      <c r="BA7" s="2">
        <v>0</v>
      </c>
      <c r="BB7" s="3">
        <v>2443.4279999999999</v>
      </c>
      <c r="BC7" s="3">
        <v>16018.028</v>
      </c>
    </row>
    <row r="8" spans="1:55">
      <c r="A8" s="2">
        <v>2025</v>
      </c>
      <c r="B8" s="2">
        <v>5</v>
      </c>
      <c r="C8" s="2">
        <v>4</v>
      </c>
      <c r="D8" s="2">
        <v>791546</v>
      </c>
      <c r="E8" s="1" t="s">
        <v>75</v>
      </c>
      <c r="F8" s="1" t="s">
        <v>56</v>
      </c>
      <c r="G8" s="1" t="s">
        <v>57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62</v>
      </c>
      <c r="M8" s="1" t="s">
        <v>63</v>
      </c>
      <c r="N8" s="1" t="s">
        <v>64</v>
      </c>
      <c r="O8" s="1" t="s">
        <v>65</v>
      </c>
      <c r="P8" s="2">
        <v>8</v>
      </c>
      <c r="Q8" s="2">
        <v>0</v>
      </c>
      <c r="R8" s="2">
        <v>0</v>
      </c>
      <c r="S8" s="2">
        <v>8</v>
      </c>
      <c r="T8" s="2">
        <v>0</v>
      </c>
      <c r="U8" s="2">
        <v>8</v>
      </c>
      <c r="V8" s="2">
        <v>1</v>
      </c>
      <c r="W8" s="2">
        <v>2</v>
      </c>
      <c r="X8" s="3">
        <v>13.869999885559082</v>
      </c>
      <c r="Y8" s="2">
        <v>0</v>
      </c>
      <c r="Z8" s="2">
        <v>0</v>
      </c>
      <c r="AA8" s="2">
        <v>200</v>
      </c>
      <c r="AB8" s="2">
        <v>0</v>
      </c>
      <c r="AC8" s="2">
        <v>60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3">
        <v>3.3641667366027832</v>
      </c>
      <c r="AN8" s="2">
        <v>0</v>
      </c>
      <c r="AO8" s="2">
        <v>0</v>
      </c>
      <c r="AP8" s="2">
        <v>0</v>
      </c>
      <c r="AQ8" s="1" t="s">
        <v>66</v>
      </c>
      <c r="AR8" s="2">
        <v>0</v>
      </c>
      <c r="AS8" s="1" t="s">
        <v>66</v>
      </c>
      <c r="AT8" s="2">
        <v>260</v>
      </c>
      <c r="AU8" s="2">
        <v>60</v>
      </c>
      <c r="AV8" s="2">
        <v>260</v>
      </c>
      <c r="AW8" s="2">
        <v>260</v>
      </c>
      <c r="AX8" s="2">
        <v>260</v>
      </c>
      <c r="AY8" s="3">
        <v>16</v>
      </c>
      <c r="AZ8" s="3">
        <v>276</v>
      </c>
      <c r="BA8" s="2">
        <v>0</v>
      </c>
      <c r="BB8" s="3">
        <v>49.68</v>
      </c>
      <c r="BC8" s="3">
        <v>325.68</v>
      </c>
    </row>
    <row r="9" spans="1:55">
      <c r="A9" s="2">
        <v>2025</v>
      </c>
      <c r="B9" s="2">
        <v>5</v>
      </c>
      <c r="C9" s="2">
        <v>4</v>
      </c>
      <c r="D9" s="2">
        <v>794501</v>
      </c>
      <c r="E9" s="1" t="s">
        <v>76</v>
      </c>
      <c r="F9" s="1" t="s">
        <v>56</v>
      </c>
      <c r="G9" s="1" t="s">
        <v>77</v>
      </c>
      <c r="H9" s="1" t="s">
        <v>58</v>
      </c>
      <c r="I9" s="1" t="s">
        <v>59</v>
      </c>
      <c r="J9" s="1" t="s">
        <v>60</v>
      </c>
      <c r="K9" s="1" t="s">
        <v>61</v>
      </c>
      <c r="L9" s="1" t="s">
        <v>62</v>
      </c>
      <c r="M9" s="1" t="s">
        <v>63</v>
      </c>
      <c r="N9" s="1" t="s">
        <v>64</v>
      </c>
      <c r="O9" s="1" t="s">
        <v>65</v>
      </c>
      <c r="P9" s="2">
        <v>84</v>
      </c>
      <c r="Q9" s="2">
        <v>1</v>
      </c>
      <c r="R9" s="2">
        <v>0</v>
      </c>
      <c r="S9" s="2">
        <v>65</v>
      </c>
      <c r="T9" s="2">
        <v>19</v>
      </c>
      <c r="U9" s="2">
        <v>84</v>
      </c>
      <c r="V9" s="2">
        <v>6</v>
      </c>
      <c r="W9" s="2">
        <v>6</v>
      </c>
      <c r="X9" s="3">
        <v>183.47000122070313</v>
      </c>
      <c r="Y9" s="2">
        <v>25</v>
      </c>
      <c r="Z9" s="2">
        <v>0</v>
      </c>
      <c r="AA9" s="2">
        <v>2125</v>
      </c>
      <c r="AB9" s="2">
        <v>150</v>
      </c>
      <c r="AC9" s="2">
        <v>370</v>
      </c>
      <c r="AD9" s="3">
        <v>0.30000001192092896</v>
      </c>
      <c r="AE9" s="2">
        <v>0</v>
      </c>
      <c r="AF9" s="2">
        <v>0</v>
      </c>
      <c r="AG9" s="2">
        <v>0</v>
      </c>
      <c r="AH9" s="2">
        <v>0</v>
      </c>
      <c r="AI9" s="2">
        <v>57</v>
      </c>
      <c r="AJ9" s="2">
        <v>0</v>
      </c>
      <c r="AK9" s="2">
        <v>420</v>
      </c>
      <c r="AL9" s="2">
        <v>0</v>
      </c>
      <c r="AM9" s="3">
        <v>39.055000305175781</v>
      </c>
      <c r="AN9" s="2">
        <v>0</v>
      </c>
      <c r="AO9" s="2">
        <v>0</v>
      </c>
      <c r="AP9" s="2">
        <v>0</v>
      </c>
      <c r="AQ9" s="1" t="s">
        <v>66</v>
      </c>
      <c r="AR9" s="2">
        <v>0</v>
      </c>
      <c r="AS9" s="1" t="s">
        <v>66</v>
      </c>
      <c r="AT9" s="3">
        <v>3122.300048828125</v>
      </c>
      <c r="AU9" s="3">
        <v>997.29998779296875</v>
      </c>
      <c r="AV9" s="3">
        <v>3122.300048828125</v>
      </c>
      <c r="AW9" s="3">
        <v>3122.300048828125</v>
      </c>
      <c r="AX9" s="3">
        <v>3122.300048828125</v>
      </c>
      <c r="AY9" s="3">
        <v>170</v>
      </c>
      <c r="AZ9" s="3">
        <v>3292.300048828125</v>
      </c>
      <c r="BA9" s="2">
        <v>0</v>
      </c>
      <c r="BB9" s="3">
        <v>592.6140087890625</v>
      </c>
      <c r="BC9" s="3">
        <v>3884.9140576171876</v>
      </c>
    </row>
    <row r="10" spans="1:55">
      <c r="A10" s="2">
        <v>2025</v>
      </c>
      <c r="B10" s="2">
        <v>5</v>
      </c>
      <c r="C10" s="2">
        <v>4</v>
      </c>
      <c r="D10" s="2">
        <v>738700</v>
      </c>
      <c r="E10" s="1" t="s">
        <v>78</v>
      </c>
      <c r="F10" s="1" t="s">
        <v>56</v>
      </c>
      <c r="G10" s="1" t="s">
        <v>70</v>
      </c>
      <c r="H10" s="1" t="s">
        <v>58</v>
      </c>
      <c r="I10" s="1" t="s">
        <v>79</v>
      </c>
      <c r="J10" s="1" t="s">
        <v>60</v>
      </c>
      <c r="K10" s="1" t="s">
        <v>61</v>
      </c>
      <c r="L10" s="1" t="s">
        <v>62</v>
      </c>
      <c r="M10" s="1" t="s">
        <v>63</v>
      </c>
      <c r="N10" s="1" t="s">
        <v>80</v>
      </c>
      <c r="O10" s="1" t="s">
        <v>65</v>
      </c>
      <c r="P10" s="2">
        <v>201</v>
      </c>
      <c r="Q10" s="2">
        <v>2</v>
      </c>
      <c r="R10" s="2">
        <v>0</v>
      </c>
      <c r="S10" s="2">
        <v>101</v>
      </c>
      <c r="T10" s="2">
        <v>100</v>
      </c>
      <c r="U10" s="2">
        <v>201</v>
      </c>
      <c r="V10" s="2">
        <v>9</v>
      </c>
      <c r="W10" s="2">
        <v>26</v>
      </c>
      <c r="X10" s="3">
        <v>484.89999389648437</v>
      </c>
      <c r="Y10" s="2">
        <v>60</v>
      </c>
      <c r="Z10" s="2">
        <v>0</v>
      </c>
      <c r="AA10" s="2">
        <v>6090</v>
      </c>
      <c r="AB10" s="2">
        <v>280</v>
      </c>
      <c r="AC10" s="2">
        <v>310</v>
      </c>
      <c r="AD10" s="2">
        <v>0</v>
      </c>
      <c r="AE10" s="2">
        <v>0</v>
      </c>
      <c r="AF10" s="2">
        <v>800</v>
      </c>
      <c r="AG10" s="2">
        <v>0</v>
      </c>
      <c r="AH10" s="2">
        <v>0</v>
      </c>
      <c r="AI10" s="2">
        <v>309</v>
      </c>
      <c r="AJ10" s="2">
        <v>0</v>
      </c>
      <c r="AK10" s="2">
        <v>3015</v>
      </c>
      <c r="AL10" s="2">
        <v>0</v>
      </c>
      <c r="AM10" s="3">
        <v>68.198112487792969</v>
      </c>
      <c r="AN10" s="2">
        <v>0</v>
      </c>
      <c r="AO10" s="2">
        <v>0</v>
      </c>
      <c r="AP10" s="2">
        <v>0</v>
      </c>
      <c r="AQ10" s="1" t="s">
        <v>66</v>
      </c>
      <c r="AR10" s="2">
        <v>300</v>
      </c>
      <c r="AS10" s="1" t="s">
        <v>81</v>
      </c>
      <c r="AT10" s="2">
        <v>10804</v>
      </c>
      <c r="AU10" s="2">
        <v>4714</v>
      </c>
      <c r="AV10" s="2">
        <v>10804</v>
      </c>
      <c r="AW10" s="2">
        <v>10804</v>
      </c>
      <c r="AX10" s="2">
        <v>10504</v>
      </c>
      <c r="AY10" s="3">
        <v>487.2</v>
      </c>
      <c r="AZ10" s="3">
        <v>10991.2</v>
      </c>
      <c r="BA10" s="2">
        <v>0</v>
      </c>
      <c r="BB10" s="3">
        <v>1978.4160000000002</v>
      </c>
      <c r="BC10" s="3">
        <v>12969.616000000002</v>
      </c>
    </row>
    <row r="11" spans="1:55">
      <c r="A11" s="2">
        <v>2025</v>
      </c>
      <c r="B11" s="2">
        <v>5</v>
      </c>
      <c r="C11" s="2">
        <v>4</v>
      </c>
      <c r="D11" s="2">
        <v>793831</v>
      </c>
      <c r="E11" s="1" t="s">
        <v>82</v>
      </c>
      <c r="F11" s="1" t="s">
        <v>56</v>
      </c>
      <c r="G11" s="1" t="s">
        <v>70</v>
      </c>
      <c r="H11" s="1" t="s">
        <v>58</v>
      </c>
      <c r="I11" s="1" t="s">
        <v>79</v>
      </c>
      <c r="J11" s="1" t="s">
        <v>60</v>
      </c>
      <c r="K11" s="1" t="s">
        <v>61</v>
      </c>
      <c r="L11" s="1" t="s">
        <v>62</v>
      </c>
      <c r="M11" s="1" t="s">
        <v>63</v>
      </c>
      <c r="N11" s="1" t="s">
        <v>80</v>
      </c>
      <c r="O11" s="1" t="s">
        <v>65</v>
      </c>
      <c r="P11" s="2">
        <v>52</v>
      </c>
      <c r="Q11" s="2">
        <v>0</v>
      </c>
      <c r="R11" s="2">
        <v>0</v>
      </c>
      <c r="S11" s="2">
        <v>25</v>
      </c>
      <c r="T11" s="2">
        <v>27</v>
      </c>
      <c r="U11" s="2">
        <v>52</v>
      </c>
      <c r="V11" s="2">
        <v>5</v>
      </c>
      <c r="W11" s="2">
        <v>5</v>
      </c>
      <c r="X11" s="3">
        <v>126.83999633789063</v>
      </c>
      <c r="Y11" s="2">
        <v>0</v>
      </c>
      <c r="Z11" s="2">
        <v>0</v>
      </c>
      <c r="AA11" s="2">
        <v>1560</v>
      </c>
      <c r="AB11" s="2">
        <v>85</v>
      </c>
      <c r="AC11" s="2">
        <v>65</v>
      </c>
      <c r="AD11" s="3">
        <v>0.15000000596046448</v>
      </c>
      <c r="AE11" s="2">
        <v>0</v>
      </c>
      <c r="AF11" s="2">
        <v>0</v>
      </c>
      <c r="AG11" s="2">
        <v>0</v>
      </c>
      <c r="AH11" s="2">
        <v>0</v>
      </c>
      <c r="AI11" s="2">
        <v>81</v>
      </c>
      <c r="AJ11" s="2">
        <v>0</v>
      </c>
      <c r="AK11" s="2">
        <v>0</v>
      </c>
      <c r="AL11" s="2">
        <v>0</v>
      </c>
      <c r="AM11" s="3">
        <v>31.7230224609375</v>
      </c>
      <c r="AN11" s="2">
        <v>0</v>
      </c>
      <c r="AO11" s="2">
        <v>0</v>
      </c>
      <c r="AP11" s="2">
        <v>0</v>
      </c>
      <c r="AQ11" s="1" t="s">
        <v>66</v>
      </c>
      <c r="AR11" s="2">
        <v>300</v>
      </c>
      <c r="AS11" s="1" t="s">
        <v>81</v>
      </c>
      <c r="AT11" s="3">
        <v>1791.1500244140625</v>
      </c>
      <c r="AU11" s="3">
        <v>231.14999389648437</v>
      </c>
      <c r="AV11" s="3">
        <v>1791.1500244140625</v>
      </c>
      <c r="AW11" s="3">
        <v>1791.1500244140625</v>
      </c>
      <c r="AX11" s="3">
        <v>1491.1500244140625</v>
      </c>
      <c r="AY11" s="3">
        <v>124.8</v>
      </c>
      <c r="AZ11" s="3">
        <v>1615.9500244140625</v>
      </c>
      <c r="BA11" s="2">
        <v>0</v>
      </c>
      <c r="BB11" s="3">
        <v>290.87100439453121</v>
      </c>
      <c r="BC11" s="3">
        <v>1906.8210288085936</v>
      </c>
    </row>
    <row r="12" spans="1:55">
      <c r="A12" s="2">
        <v>2025</v>
      </c>
      <c r="B12" s="2">
        <v>5</v>
      </c>
      <c r="C12" s="2">
        <v>4</v>
      </c>
      <c r="D12" s="2">
        <v>741275</v>
      </c>
      <c r="E12" s="1" t="s">
        <v>83</v>
      </c>
      <c r="F12" s="1" t="s">
        <v>56</v>
      </c>
      <c r="G12" s="1" t="s">
        <v>70</v>
      </c>
      <c r="H12" s="1" t="s">
        <v>58</v>
      </c>
      <c r="I12" s="1" t="s">
        <v>84</v>
      </c>
      <c r="J12" s="1" t="s">
        <v>60</v>
      </c>
      <c r="K12" s="1" t="s">
        <v>61</v>
      </c>
      <c r="L12" s="1" t="s">
        <v>62</v>
      </c>
      <c r="M12" s="1" t="s">
        <v>63</v>
      </c>
      <c r="N12" s="1" t="s">
        <v>85</v>
      </c>
      <c r="O12" s="1" t="s">
        <v>65</v>
      </c>
      <c r="P12" s="2">
        <v>214</v>
      </c>
      <c r="Q12" s="2">
        <v>4</v>
      </c>
      <c r="R12" s="2">
        <v>0</v>
      </c>
      <c r="S12" s="2">
        <v>146</v>
      </c>
      <c r="T12" s="2">
        <v>68</v>
      </c>
      <c r="U12" s="2">
        <v>214</v>
      </c>
      <c r="V12" s="2">
        <v>10</v>
      </c>
      <c r="W12" s="2">
        <v>30</v>
      </c>
      <c r="X12" s="3">
        <v>642.32000732421875</v>
      </c>
      <c r="Y12" s="2">
        <v>120</v>
      </c>
      <c r="Z12" s="2">
        <v>0</v>
      </c>
      <c r="AA12" s="2">
        <v>6540</v>
      </c>
      <c r="AB12" s="2">
        <v>290</v>
      </c>
      <c r="AC12" s="2">
        <v>4400</v>
      </c>
      <c r="AD12" s="2">
        <v>0</v>
      </c>
      <c r="AE12" s="2">
        <v>3120</v>
      </c>
      <c r="AF12" s="2">
        <v>0</v>
      </c>
      <c r="AG12" s="2">
        <v>0</v>
      </c>
      <c r="AH12" s="2">
        <v>30</v>
      </c>
      <c r="AI12" s="2">
        <v>210</v>
      </c>
      <c r="AJ12" s="2">
        <v>0</v>
      </c>
      <c r="AK12" s="2">
        <v>800</v>
      </c>
      <c r="AL12" s="2">
        <v>0</v>
      </c>
      <c r="AM12" s="3">
        <v>74.523612976074219</v>
      </c>
      <c r="AN12" s="2">
        <v>0</v>
      </c>
      <c r="AO12" s="2">
        <v>0</v>
      </c>
      <c r="AP12" s="2">
        <v>0</v>
      </c>
      <c r="AQ12" s="1" t="s">
        <v>66</v>
      </c>
      <c r="AR12" s="2">
        <v>35</v>
      </c>
      <c r="AS12" s="1" t="s">
        <v>67</v>
      </c>
      <c r="AT12" s="2">
        <v>15390</v>
      </c>
      <c r="AU12" s="2">
        <v>8850</v>
      </c>
      <c r="AV12" s="2">
        <v>15390</v>
      </c>
      <c r="AW12" s="2">
        <v>15390</v>
      </c>
      <c r="AX12" s="2">
        <v>15355</v>
      </c>
      <c r="AY12" s="3">
        <v>523.20000000000005</v>
      </c>
      <c r="AZ12" s="3">
        <v>15878.2</v>
      </c>
      <c r="BA12" s="2">
        <v>0</v>
      </c>
      <c r="BB12" s="3">
        <v>2858.076</v>
      </c>
      <c r="BC12" s="3">
        <v>18736.276000000002</v>
      </c>
    </row>
    <row r="13" spans="1:55">
      <c r="A13" s="2">
        <v>2025</v>
      </c>
      <c r="B13" s="2">
        <v>5</v>
      </c>
      <c r="C13" s="2">
        <v>4</v>
      </c>
      <c r="D13" s="2">
        <v>793343</v>
      </c>
      <c r="E13" s="1" t="s">
        <v>86</v>
      </c>
      <c r="F13" s="1" t="s">
        <v>56</v>
      </c>
      <c r="G13" s="1" t="s">
        <v>77</v>
      </c>
      <c r="H13" s="1" t="s">
        <v>58</v>
      </c>
      <c r="I13" s="1" t="s">
        <v>84</v>
      </c>
      <c r="J13" s="1" t="s">
        <v>60</v>
      </c>
      <c r="K13" s="1" t="s">
        <v>61</v>
      </c>
      <c r="L13" s="1" t="s">
        <v>62</v>
      </c>
      <c r="M13" s="1" t="s">
        <v>63</v>
      </c>
      <c r="N13" s="1" t="s">
        <v>87</v>
      </c>
      <c r="O13" s="1" t="s">
        <v>65</v>
      </c>
      <c r="P13" s="2">
        <v>131</v>
      </c>
      <c r="Q13" s="2">
        <v>1</v>
      </c>
      <c r="R13" s="2">
        <v>4</v>
      </c>
      <c r="S13" s="2">
        <v>84</v>
      </c>
      <c r="T13" s="2">
        <v>47</v>
      </c>
      <c r="U13" s="2">
        <v>135</v>
      </c>
      <c r="V13" s="2">
        <v>9</v>
      </c>
      <c r="W13" s="2">
        <v>9</v>
      </c>
      <c r="X13" s="3">
        <v>433.01998901367187</v>
      </c>
      <c r="Y13" s="2">
        <v>25</v>
      </c>
      <c r="Z13" s="2">
        <v>100</v>
      </c>
      <c r="AA13" s="2">
        <v>3400</v>
      </c>
      <c r="AB13" s="2">
        <v>210</v>
      </c>
      <c r="AC13" s="2">
        <v>2750</v>
      </c>
      <c r="AD13" s="3">
        <v>0.44999998807907104</v>
      </c>
      <c r="AE13" s="2">
        <v>1765</v>
      </c>
      <c r="AF13" s="2">
        <v>0</v>
      </c>
      <c r="AG13" s="2">
        <v>0</v>
      </c>
      <c r="AH13" s="2">
        <v>0</v>
      </c>
      <c r="AI13" s="2">
        <v>144</v>
      </c>
      <c r="AJ13" s="2">
        <v>0</v>
      </c>
      <c r="AK13" s="2">
        <v>250</v>
      </c>
      <c r="AL13" s="2">
        <v>0</v>
      </c>
      <c r="AM13" s="3">
        <v>57.497390747070313</v>
      </c>
      <c r="AN13" s="2">
        <v>0</v>
      </c>
      <c r="AO13" s="2">
        <v>0</v>
      </c>
      <c r="AP13" s="2">
        <v>0</v>
      </c>
      <c r="AQ13" s="1" t="s">
        <v>66</v>
      </c>
      <c r="AR13" s="2">
        <v>220</v>
      </c>
      <c r="AS13" s="1" t="s">
        <v>88</v>
      </c>
      <c r="AT13" s="3">
        <v>8519.4501953125</v>
      </c>
      <c r="AU13" s="3">
        <v>5119.4501953125</v>
      </c>
      <c r="AV13" s="3">
        <v>8519.4501953125</v>
      </c>
      <c r="AW13" s="3">
        <v>8519.4501953125</v>
      </c>
      <c r="AX13" s="3">
        <v>8299.4501953125</v>
      </c>
      <c r="AY13" s="3">
        <v>272</v>
      </c>
      <c r="AZ13" s="3">
        <v>8571.4501953125</v>
      </c>
      <c r="BA13" s="2">
        <v>0</v>
      </c>
      <c r="BB13" s="3">
        <v>1542.86103515625</v>
      </c>
      <c r="BC13" s="3">
        <v>10114.311230468749</v>
      </c>
    </row>
    <row r="14" spans="1:55">
      <c r="A14" s="2">
        <v>2025</v>
      </c>
      <c r="B14" s="2">
        <v>5</v>
      </c>
      <c r="C14" s="2">
        <v>4</v>
      </c>
      <c r="D14" s="2">
        <v>793265</v>
      </c>
      <c r="E14" s="1" t="s">
        <v>89</v>
      </c>
      <c r="F14" s="1" t="s">
        <v>56</v>
      </c>
      <c r="G14" s="1" t="s">
        <v>70</v>
      </c>
      <c r="H14" s="1" t="s">
        <v>58</v>
      </c>
      <c r="I14" s="1" t="s">
        <v>90</v>
      </c>
      <c r="J14" s="1" t="s">
        <v>60</v>
      </c>
      <c r="K14" s="1" t="s">
        <v>61</v>
      </c>
      <c r="L14" s="1" t="s">
        <v>62</v>
      </c>
      <c r="M14" s="1" t="s">
        <v>63</v>
      </c>
      <c r="N14" s="1" t="s">
        <v>91</v>
      </c>
      <c r="O14" s="1" t="s">
        <v>65</v>
      </c>
      <c r="P14" s="2">
        <v>41</v>
      </c>
      <c r="Q14" s="2">
        <v>1</v>
      </c>
      <c r="R14" s="2">
        <v>0</v>
      </c>
      <c r="S14" s="2">
        <v>24</v>
      </c>
      <c r="T14" s="2">
        <v>17</v>
      </c>
      <c r="U14" s="2">
        <v>41</v>
      </c>
      <c r="V14" s="2">
        <v>5</v>
      </c>
      <c r="W14" s="2">
        <v>5</v>
      </c>
      <c r="X14" s="3">
        <v>84.949996948242188</v>
      </c>
      <c r="Y14" s="2">
        <v>30</v>
      </c>
      <c r="Z14" s="2">
        <v>0</v>
      </c>
      <c r="AA14" s="2">
        <v>1260</v>
      </c>
      <c r="AB14" s="2">
        <v>55</v>
      </c>
      <c r="AC14" s="2">
        <v>105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57</v>
      </c>
      <c r="AJ14" s="2">
        <v>0</v>
      </c>
      <c r="AK14" s="2">
        <v>0</v>
      </c>
      <c r="AL14" s="2">
        <v>0</v>
      </c>
      <c r="AM14" s="3">
        <v>24.95037841796875</v>
      </c>
      <c r="AN14" s="2">
        <v>0</v>
      </c>
      <c r="AO14" s="2">
        <v>0</v>
      </c>
      <c r="AP14" s="2">
        <v>0</v>
      </c>
      <c r="AQ14" s="1" t="s">
        <v>66</v>
      </c>
      <c r="AR14" s="2">
        <v>0</v>
      </c>
      <c r="AS14" s="1" t="s">
        <v>66</v>
      </c>
      <c r="AT14" s="2">
        <v>1477</v>
      </c>
      <c r="AU14" s="2">
        <v>217</v>
      </c>
      <c r="AV14" s="2">
        <v>1477</v>
      </c>
      <c r="AW14" s="2">
        <v>1477</v>
      </c>
      <c r="AX14" s="2">
        <v>1477</v>
      </c>
      <c r="AY14" s="3">
        <v>100.8</v>
      </c>
      <c r="AZ14" s="3">
        <v>1577.8</v>
      </c>
      <c r="BA14" s="2">
        <v>0</v>
      </c>
      <c r="BB14" s="3">
        <v>284.00399999999996</v>
      </c>
      <c r="BC14" s="3">
        <v>1861.8039999999999</v>
      </c>
    </row>
    <row r="15" spans="1:55">
      <c r="A15" s="2">
        <v>2025</v>
      </c>
      <c r="B15" s="2">
        <v>5</v>
      </c>
      <c r="C15" s="2">
        <v>4</v>
      </c>
      <c r="D15" s="2">
        <v>784299</v>
      </c>
      <c r="E15" s="1" t="s">
        <v>92</v>
      </c>
      <c r="F15" s="1" t="s">
        <v>56</v>
      </c>
      <c r="G15" s="1" t="s">
        <v>70</v>
      </c>
      <c r="H15" s="1" t="s">
        <v>58</v>
      </c>
      <c r="I15" s="1" t="s">
        <v>93</v>
      </c>
      <c r="J15" s="1" t="s">
        <v>60</v>
      </c>
      <c r="K15" s="1" t="s">
        <v>61</v>
      </c>
      <c r="L15" s="1" t="s">
        <v>62</v>
      </c>
      <c r="M15" s="1" t="s">
        <v>63</v>
      </c>
      <c r="N15" s="1" t="s">
        <v>94</v>
      </c>
      <c r="O15" s="1" t="s">
        <v>65</v>
      </c>
      <c r="P15" s="2">
        <v>200</v>
      </c>
      <c r="Q15" s="2">
        <v>12</v>
      </c>
      <c r="R15" s="2">
        <v>0</v>
      </c>
      <c r="S15" s="2">
        <v>167</v>
      </c>
      <c r="T15" s="2">
        <v>33</v>
      </c>
      <c r="U15" s="2">
        <v>200</v>
      </c>
      <c r="V15" s="2">
        <v>8</v>
      </c>
      <c r="W15" s="2">
        <v>21</v>
      </c>
      <c r="X15" s="3">
        <v>462.95001220703125</v>
      </c>
      <c r="Y15" s="2">
        <v>360</v>
      </c>
      <c r="Z15" s="2">
        <v>0</v>
      </c>
      <c r="AA15" s="2">
        <v>6360</v>
      </c>
      <c r="AB15" s="2">
        <v>465</v>
      </c>
      <c r="AC15" s="2">
        <v>630</v>
      </c>
      <c r="AD15" s="3">
        <v>14.579999923706055</v>
      </c>
      <c r="AE15" s="2">
        <v>550</v>
      </c>
      <c r="AF15" s="2">
        <v>800</v>
      </c>
      <c r="AG15" s="2">
        <v>0</v>
      </c>
      <c r="AH15" s="2">
        <v>0</v>
      </c>
      <c r="AI15" s="2">
        <v>111</v>
      </c>
      <c r="AJ15" s="2">
        <v>2000</v>
      </c>
      <c r="AK15" s="2">
        <v>3000</v>
      </c>
      <c r="AL15" s="2">
        <v>0</v>
      </c>
      <c r="AM15" s="3">
        <v>63.703666687011719</v>
      </c>
      <c r="AN15" s="2">
        <v>0</v>
      </c>
      <c r="AO15" s="2">
        <v>0</v>
      </c>
      <c r="AP15" s="2">
        <v>0</v>
      </c>
      <c r="AQ15" s="1" t="s">
        <v>66</v>
      </c>
      <c r="AR15" s="2">
        <v>0</v>
      </c>
      <c r="AS15" s="1" t="s">
        <v>66</v>
      </c>
      <c r="AT15" s="3">
        <v>13930.580078125</v>
      </c>
      <c r="AU15" s="3">
        <v>7570.580078125</v>
      </c>
      <c r="AV15" s="3">
        <v>13930.580078125</v>
      </c>
      <c r="AW15" s="3">
        <v>13930.580078125</v>
      </c>
      <c r="AX15" s="3">
        <v>13930.580078125</v>
      </c>
      <c r="AY15" s="3">
        <v>508.8</v>
      </c>
      <c r="AZ15" s="3">
        <v>14439.380078124999</v>
      </c>
      <c r="BA15" s="2">
        <v>0</v>
      </c>
      <c r="BB15" s="3">
        <v>2599.0884140624999</v>
      </c>
      <c r="BC15" s="3">
        <v>17038.468492187498</v>
      </c>
    </row>
    <row r="16" spans="1:55">
      <c r="A16" s="2">
        <v>2025</v>
      </c>
      <c r="B16" s="2">
        <v>5</v>
      </c>
      <c r="C16" s="2">
        <v>4</v>
      </c>
      <c r="D16" s="2">
        <v>757911</v>
      </c>
      <c r="E16" s="1" t="s">
        <v>95</v>
      </c>
      <c r="F16" s="1" t="s">
        <v>56</v>
      </c>
      <c r="G16" s="1" t="s">
        <v>57</v>
      </c>
      <c r="H16" s="1" t="s">
        <v>58</v>
      </c>
      <c r="I16" s="1" t="s">
        <v>96</v>
      </c>
      <c r="J16" s="1" t="s">
        <v>60</v>
      </c>
      <c r="K16" s="1" t="s">
        <v>61</v>
      </c>
      <c r="L16" s="1" t="s">
        <v>62</v>
      </c>
      <c r="M16" s="1" t="s">
        <v>63</v>
      </c>
      <c r="N16" s="1" t="s">
        <v>97</v>
      </c>
      <c r="O16" s="1" t="s">
        <v>65</v>
      </c>
      <c r="P16" s="2">
        <v>312</v>
      </c>
      <c r="Q16" s="2">
        <v>0</v>
      </c>
      <c r="R16" s="2">
        <v>0</v>
      </c>
      <c r="S16" s="2">
        <v>222</v>
      </c>
      <c r="T16" s="2">
        <v>90</v>
      </c>
      <c r="U16" s="2">
        <v>312</v>
      </c>
      <c r="V16" s="2">
        <v>10</v>
      </c>
      <c r="W16" s="2">
        <v>26</v>
      </c>
      <c r="X16" s="3">
        <v>527.20001220703125</v>
      </c>
      <c r="Y16" s="2">
        <v>0</v>
      </c>
      <c r="Z16" s="2">
        <v>0</v>
      </c>
      <c r="AA16" s="2">
        <v>7800</v>
      </c>
      <c r="AB16" s="2">
        <v>620</v>
      </c>
      <c r="AC16" s="2">
        <v>1230</v>
      </c>
      <c r="AD16" s="2">
        <v>0</v>
      </c>
      <c r="AE16" s="2">
        <v>1200</v>
      </c>
      <c r="AF16" s="2">
        <v>800</v>
      </c>
      <c r="AG16" s="2">
        <v>0</v>
      </c>
      <c r="AH16" s="2">
        <v>90</v>
      </c>
      <c r="AI16" s="2">
        <v>270</v>
      </c>
      <c r="AJ16" s="2">
        <v>0</v>
      </c>
      <c r="AK16" s="2">
        <v>4680</v>
      </c>
      <c r="AL16" s="2">
        <v>0</v>
      </c>
      <c r="AM16" s="3">
        <v>88.393753051757813</v>
      </c>
      <c r="AN16" s="2">
        <v>0</v>
      </c>
      <c r="AO16" s="2">
        <v>0</v>
      </c>
      <c r="AP16" s="2">
        <v>0</v>
      </c>
      <c r="AQ16" s="1" t="s">
        <v>66</v>
      </c>
      <c r="AR16" s="3">
        <v>74.910003662109375</v>
      </c>
      <c r="AS16" s="1" t="s">
        <v>67</v>
      </c>
      <c r="AT16" s="2">
        <v>16690</v>
      </c>
      <c r="AU16" s="2">
        <v>8890</v>
      </c>
      <c r="AV16" s="2">
        <v>16690</v>
      </c>
      <c r="AW16" s="2">
        <v>16690</v>
      </c>
      <c r="AX16" s="3">
        <v>16615.08984375</v>
      </c>
      <c r="AY16" s="3">
        <v>624</v>
      </c>
      <c r="AZ16" s="3">
        <v>17239.08984375</v>
      </c>
      <c r="BA16" s="2">
        <v>0</v>
      </c>
      <c r="BB16" s="3">
        <v>3103.036171875</v>
      </c>
      <c r="BC16" s="3">
        <v>20342.126015624999</v>
      </c>
    </row>
    <row r="17" spans="1:55">
      <c r="A17" s="2">
        <v>2025</v>
      </c>
      <c r="B17" s="2">
        <v>5</v>
      </c>
      <c r="C17" s="2">
        <v>4</v>
      </c>
      <c r="D17" s="2">
        <v>763173</v>
      </c>
      <c r="E17" s="1" t="s">
        <v>98</v>
      </c>
      <c r="F17" s="1" t="s">
        <v>56</v>
      </c>
      <c r="G17" s="1" t="s">
        <v>57</v>
      </c>
      <c r="H17" s="1" t="s">
        <v>58</v>
      </c>
      <c r="I17" s="1" t="s">
        <v>96</v>
      </c>
      <c r="J17" s="1" t="s">
        <v>60</v>
      </c>
      <c r="K17" s="1" t="s">
        <v>61</v>
      </c>
      <c r="L17" s="1" t="s">
        <v>62</v>
      </c>
      <c r="M17" s="1" t="s">
        <v>63</v>
      </c>
      <c r="N17" s="1" t="s">
        <v>97</v>
      </c>
      <c r="O17" s="1" t="s">
        <v>65</v>
      </c>
      <c r="P17" s="2">
        <v>271</v>
      </c>
      <c r="Q17" s="2">
        <v>7</v>
      </c>
      <c r="R17" s="2">
        <v>6</v>
      </c>
      <c r="S17" s="2">
        <v>180</v>
      </c>
      <c r="T17" s="2">
        <v>91</v>
      </c>
      <c r="U17" s="2">
        <v>277</v>
      </c>
      <c r="V17" s="2">
        <v>10</v>
      </c>
      <c r="W17" s="2">
        <v>28</v>
      </c>
      <c r="X17" s="3">
        <v>456.55999755859375</v>
      </c>
      <c r="Y17" s="2">
        <v>175</v>
      </c>
      <c r="Z17" s="2">
        <v>150</v>
      </c>
      <c r="AA17" s="2">
        <v>7100</v>
      </c>
      <c r="AB17" s="2">
        <v>435</v>
      </c>
      <c r="AC17" s="2">
        <v>3070</v>
      </c>
      <c r="AD17" s="2">
        <v>0</v>
      </c>
      <c r="AE17" s="2">
        <v>1050</v>
      </c>
      <c r="AF17" s="2">
        <v>800</v>
      </c>
      <c r="AG17" s="2">
        <v>0</v>
      </c>
      <c r="AH17" s="2">
        <v>60</v>
      </c>
      <c r="AI17" s="2">
        <v>297</v>
      </c>
      <c r="AJ17" s="2">
        <v>0</v>
      </c>
      <c r="AK17" s="2">
        <v>4155</v>
      </c>
      <c r="AL17" s="2">
        <v>0</v>
      </c>
      <c r="AM17" s="3">
        <v>70.151779174804688</v>
      </c>
      <c r="AN17" s="2">
        <v>0</v>
      </c>
      <c r="AO17" s="2">
        <v>0</v>
      </c>
      <c r="AP17" s="2">
        <v>490</v>
      </c>
      <c r="AQ17" s="1" t="s">
        <v>99</v>
      </c>
      <c r="AR17" s="2">
        <v>378</v>
      </c>
      <c r="AS17" s="1" t="s">
        <v>100</v>
      </c>
      <c r="AT17" s="2">
        <v>16967</v>
      </c>
      <c r="AU17" s="2">
        <v>9867</v>
      </c>
      <c r="AV17" s="2">
        <v>16967</v>
      </c>
      <c r="AW17" s="2">
        <v>17457</v>
      </c>
      <c r="AX17" s="2">
        <v>17079</v>
      </c>
      <c r="AY17" s="3">
        <v>568</v>
      </c>
      <c r="AZ17" s="3">
        <v>17647</v>
      </c>
      <c r="BA17" s="2">
        <v>0</v>
      </c>
      <c r="BB17" s="3">
        <v>3176.46</v>
      </c>
      <c r="BC17" s="3">
        <v>20823.46</v>
      </c>
    </row>
    <row r="18" spans="1:55">
      <c r="A18" s="2">
        <v>2025</v>
      </c>
      <c r="B18" s="2">
        <v>5</v>
      </c>
      <c r="C18" s="2">
        <v>4</v>
      </c>
      <c r="D18" s="2">
        <v>792785</v>
      </c>
      <c r="E18" s="1" t="s">
        <v>101</v>
      </c>
      <c r="F18" s="1" t="s">
        <v>56</v>
      </c>
      <c r="G18" s="1" t="s">
        <v>77</v>
      </c>
      <c r="H18" s="1" t="s">
        <v>58</v>
      </c>
      <c r="I18" s="1" t="s">
        <v>96</v>
      </c>
      <c r="J18" s="1" t="s">
        <v>60</v>
      </c>
      <c r="K18" s="1" t="s">
        <v>61</v>
      </c>
      <c r="L18" s="1" t="s">
        <v>62</v>
      </c>
      <c r="M18" s="1" t="s">
        <v>63</v>
      </c>
      <c r="N18" s="1" t="s">
        <v>97</v>
      </c>
      <c r="O18" s="1" t="s">
        <v>65</v>
      </c>
      <c r="P18" s="2">
        <v>1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1</v>
      </c>
      <c r="X18" s="3">
        <v>2.2300000190734863</v>
      </c>
      <c r="Y18" s="2">
        <v>0</v>
      </c>
      <c r="Z18" s="2">
        <v>0</v>
      </c>
      <c r="AA18" s="2">
        <v>25</v>
      </c>
      <c r="AB18" s="2">
        <v>0</v>
      </c>
      <c r="AC18" s="2">
        <v>10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3">
        <v>0.96438890695571899</v>
      </c>
      <c r="AN18" s="2">
        <v>0</v>
      </c>
      <c r="AO18" s="2">
        <v>0</v>
      </c>
      <c r="AP18" s="2">
        <v>0</v>
      </c>
      <c r="AQ18" s="1" t="s">
        <v>66</v>
      </c>
      <c r="AR18" s="2">
        <v>0</v>
      </c>
      <c r="AS18" s="1" t="s">
        <v>66</v>
      </c>
      <c r="AT18" s="2">
        <v>35</v>
      </c>
      <c r="AU18" s="2">
        <v>10</v>
      </c>
      <c r="AV18" s="2">
        <v>35</v>
      </c>
      <c r="AW18" s="2">
        <v>35</v>
      </c>
      <c r="AX18" s="2">
        <v>35</v>
      </c>
      <c r="AY18" s="3">
        <v>2</v>
      </c>
      <c r="AZ18" s="3">
        <v>37</v>
      </c>
      <c r="BA18" s="2">
        <v>0</v>
      </c>
      <c r="BB18" s="3">
        <v>6.66</v>
      </c>
      <c r="BC18" s="3">
        <v>43.66</v>
      </c>
    </row>
    <row r="19" spans="1:55">
      <c r="A19" s="2">
        <v>2025</v>
      </c>
      <c r="B19" s="2">
        <v>5</v>
      </c>
      <c r="C19" s="2">
        <v>4</v>
      </c>
      <c r="D19" s="2">
        <v>794453</v>
      </c>
      <c r="E19" s="1" t="s">
        <v>102</v>
      </c>
      <c r="F19" s="1" t="s">
        <v>56</v>
      </c>
      <c r="G19" s="1" t="s">
        <v>77</v>
      </c>
      <c r="H19" s="1" t="s">
        <v>58</v>
      </c>
      <c r="I19" s="1" t="s">
        <v>96</v>
      </c>
      <c r="J19" s="1" t="s">
        <v>60</v>
      </c>
      <c r="K19" s="1" t="s">
        <v>61</v>
      </c>
      <c r="L19" s="1" t="s">
        <v>62</v>
      </c>
      <c r="M19" s="1" t="s">
        <v>63</v>
      </c>
      <c r="N19" s="1" t="s">
        <v>97</v>
      </c>
      <c r="O19" s="1" t="s">
        <v>65</v>
      </c>
      <c r="P19" s="2">
        <v>50</v>
      </c>
      <c r="Q19" s="2">
        <v>1</v>
      </c>
      <c r="R19" s="2">
        <v>0</v>
      </c>
      <c r="S19" s="2">
        <v>50</v>
      </c>
      <c r="T19" s="2">
        <v>0</v>
      </c>
      <c r="U19" s="2">
        <v>50</v>
      </c>
      <c r="V19" s="2">
        <v>4</v>
      </c>
      <c r="W19" s="2">
        <v>4</v>
      </c>
      <c r="X19" s="3">
        <v>85.239997863769531</v>
      </c>
      <c r="Y19" s="2">
        <v>25</v>
      </c>
      <c r="Z19" s="2">
        <v>0</v>
      </c>
      <c r="AA19" s="2">
        <v>1275</v>
      </c>
      <c r="AB19" s="2">
        <v>130</v>
      </c>
      <c r="AC19" s="2">
        <v>180</v>
      </c>
      <c r="AD19" s="2">
        <v>0</v>
      </c>
      <c r="AE19" s="2">
        <v>100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3">
        <v>17.593778610229492</v>
      </c>
      <c r="AN19" s="2">
        <v>0</v>
      </c>
      <c r="AO19" s="2">
        <v>0</v>
      </c>
      <c r="AP19" s="2">
        <v>0</v>
      </c>
      <c r="AQ19" s="1" t="s">
        <v>66</v>
      </c>
      <c r="AR19" s="2">
        <v>117</v>
      </c>
      <c r="AS19" s="1" t="s">
        <v>103</v>
      </c>
      <c r="AT19" s="2">
        <v>1685</v>
      </c>
      <c r="AU19" s="2">
        <v>410</v>
      </c>
      <c r="AV19" s="2">
        <v>1685</v>
      </c>
      <c r="AW19" s="2">
        <v>1685</v>
      </c>
      <c r="AX19" s="2">
        <v>1568</v>
      </c>
      <c r="AY19" s="3">
        <v>102</v>
      </c>
      <c r="AZ19" s="3">
        <v>1670</v>
      </c>
      <c r="BA19" s="2">
        <v>0</v>
      </c>
      <c r="BB19" s="3">
        <v>300.59999999999997</v>
      </c>
      <c r="BC19" s="3">
        <v>1970.6</v>
      </c>
    </row>
    <row r="20" spans="1:55">
      <c r="A20" s="2">
        <v>2025</v>
      </c>
      <c r="B20" s="2">
        <v>5</v>
      </c>
      <c r="C20" s="2">
        <v>4</v>
      </c>
      <c r="D20" s="2">
        <v>756418</v>
      </c>
      <c r="E20" s="1" t="s">
        <v>104</v>
      </c>
      <c r="F20" s="1" t="s">
        <v>56</v>
      </c>
      <c r="G20" s="1" t="s">
        <v>70</v>
      </c>
      <c r="H20" s="1" t="s">
        <v>58</v>
      </c>
      <c r="I20" s="1" t="s">
        <v>105</v>
      </c>
      <c r="J20" s="1" t="s">
        <v>60</v>
      </c>
      <c r="K20" s="1" t="s">
        <v>61</v>
      </c>
      <c r="L20" s="1" t="s">
        <v>62</v>
      </c>
      <c r="M20" s="1" t="s">
        <v>63</v>
      </c>
      <c r="N20" s="1" t="s">
        <v>106</v>
      </c>
      <c r="O20" s="1" t="s">
        <v>65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220</v>
      </c>
      <c r="AQ20" s="1" t="s">
        <v>107</v>
      </c>
      <c r="AR20" s="2">
        <v>0</v>
      </c>
      <c r="AS20" s="1" t="s">
        <v>66</v>
      </c>
      <c r="AT20" s="2">
        <v>0</v>
      </c>
      <c r="AU20" s="2">
        <v>0</v>
      </c>
      <c r="AV20" s="2">
        <v>0</v>
      </c>
      <c r="AW20" s="2">
        <v>220</v>
      </c>
      <c r="AX20" s="2">
        <v>220</v>
      </c>
      <c r="AY20" s="3">
        <v>0</v>
      </c>
      <c r="AZ20" s="3">
        <v>220</v>
      </c>
      <c r="BA20" s="2">
        <v>0</v>
      </c>
      <c r="BB20" s="3">
        <v>39.6</v>
      </c>
      <c r="BC20" s="3">
        <v>259.60000000000002</v>
      </c>
    </row>
    <row r="21" spans="1:55">
      <c r="A21" s="2">
        <v>2025</v>
      </c>
      <c r="B21" s="2">
        <v>5</v>
      </c>
      <c r="C21" s="2">
        <v>4</v>
      </c>
      <c r="D21" s="2">
        <v>780996</v>
      </c>
      <c r="E21" s="1" t="s">
        <v>108</v>
      </c>
      <c r="F21" s="1" t="s">
        <v>56</v>
      </c>
      <c r="G21" s="1" t="s">
        <v>57</v>
      </c>
      <c r="H21" s="1" t="s">
        <v>58</v>
      </c>
      <c r="I21" s="1" t="s">
        <v>109</v>
      </c>
      <c r="J21" s="1" t="s">
        <v>60</v>
      </c>
      <c r="K21" s="1" t="s">
        <v>61</v>
      </c>
      <c r="L21" s="1" t="s">
        <v>62</v>
      </c>
      <c r="M21" s="1" t="s">
        <v>63</v>
      </c>
      <c r="N21" s="1" t="s">
        <v>110</v>
      </c>
      <c r="O21" s="1" t="s">
        <v>65</v>
      </c>
      <c r="P21" s="2">
        <v>2</v>
      </c>
      <c r="Q21" s="2">
        <v>0</v>
      </c>
      <c r="R21" s="2">
        <v>0</v>
      </c>
      <c r="S21" s="2">
        <v>0</v>
      </c>
      <c r="T21" s="2">
        <v>2</v>
      </c>
      <c r="U21" s="2">
        <v>2</v>
      </c>
      <c r="V21" s="2">
        <v>1</v>
      </c>
      <c r="W21" s="2">
        <v>13</v>
      </c>
      <c r="X21" s="3">
        <v>6.2199997901916504</v>
      </c>
      <c r="Y21" s="2">
        <v>0</v>
      </c>
      <c r="Z21" s="2">
        <v>0</v>
      </c>
      <c r="AA21" s="2">
        <v>50</v>
      </c>
      <c r="AB21" s="2">
        <v>0</v>
      </c>
      <c r="AC21" s="2">
        <v>10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6</v>
      </c>
      <c r="AJ21" s="2">
        <v>0</v>
      </c>
      <c r="AK21" s="2">
        <v>0</v>
      </c>
      <c r="AL21" s="2">
        <v>0</v>
      </c>
      <c r="AM21" s="3">
        <v>1.0115000009536743</v>
      </c>
      <c r="AN21" s="2">
        <v>0</v>
      </c>
      <c r="AO21" s="2">
        <v>0</v>
      </c>
      <c r="AP21" s="2">
        <v>0</v>
      </c>
      <c r="AQ21" s="1" t="s">
        <v>66</v>
      </c>
      <c r="AR21" s="2">
        <v>0</v>
      </c>
      <c r="AS21" s="1" t="s">
        <v>66</v>
      </c>
      <c r="AT21" s="2">
        <v>66</v>
      </c>
      <c r="AU21" s="2">
        <v>16</v>
      </c>
      <c r="AV21" s="2">
        <v>66</v>
      </c>
      <c r="AW21" s="2">
        <v>66</v>
      </c>
      <c r="AX21" s="2">
        <v>66</v>
      </c>
      <c r="AY21" s="3">
        <v>4</v>
      </c>
      <c r="AZ21" s="3">
        <v>70</v>
      </c>
      <c r="BA21" s="2">
        <v>0</v>
      </c>
      <c r="BB21" s="3">
        <v>12.6</v>
      </c>
      <c r="BC21" s="3">
        <v>82.6</v>
      </c>
    </row>
    <row r="22" spans="1:55">
      <c r="A22" s="2">
        <v>2025</v>
      </c>
      <c r="B22" s="2">
        <v>5</v>
      </c>
      <c r="C22" s="2">
        <v>4</v>
      </c>
      <c r="D22" s="2">
        <v>756144</v>
      </c>
      <c r="E22" s="1" t="s">
        <v>111</v>
      </c>
      <c r="F22" s="1" t="s">
        <v>56</v>
      </c>
      <c r="G22" s="1" t="s">
        <v>70</v>
      </c>
      <c r="H22" s="1" t="s">
        <v>58</v>
      </c>
      <c r="I22" s="1" t="s">
        <v>112</v>
      </c>
      <c r="J22" s="1" t="s">
        <v>60</v>
      </c>
      <c r="K22" s="1" t="s">
        <v>61</v>
      </c>
      <c r="L22" s="1" t="s">
        <v>62</v>
      </c>
      <c r="M22" s="1" t="s">
        <v>63</v>
      </c>
      <c r="N22" s="1" t="s">
        <v>113</v>
      </c>
      <c r="O22" s="1" t="s">
        <v>65</v>
      </c>
      <c r="P22" s="2">
        <v>226</v>
      </c>
      <c r="Q22" s="2">
        <v>4</v>
      </c>
      <c r="R22" s="2">
        <v>0</v>
      </c>
      <c r="S22" s="2">
        <v>156</v>
      </c>
      <c r="T22" s="2">
        <v>70</v>
      </c>
      <c r="U22" s="2">
        <v>226</v>
      </c>
      <c r="V22" s="2">
        <v>9</v>
      </c>
      <c r="W22" s="2">
        <v>29</v>
      </c>
      <c r="X22" s="3">
        <v>453.3900146484375</v>
      </c>
      <c r="Y22" s="2">
        <v>120</v>
      </c>
      <c r="Z22" s="2">
        <v>0</v>
      </c>
      <c r="AA22" s="2">
        <v>6900</v>
      </c>
      <c r="AB22" s="2">
        <v>610</v>
      </c>
      <c r="AC22" s="2">
        <v>365</v>
      </c>
      <c r="AD22" s="3">
        <v>0.38999998569488525</v>
      </c>
      <c r="AE22" s="2">
        <v>0</v>
      </c>
      <c r="AF22" s="2">
        <v>800</v>
      </c>
      <c r="AG22" s="2">
        <v>0</v>
      </c>
      <c r="AH22" s="2">
        <v>0</v>
      </c>
      <c r="AI22" s="2">
        <v>213</v>
      </c>
      <c r="AJ22" s="2">
        <v>0</v>
      </c>
      <c r="AK22" s="2">
        <v>3390</v>
      </c>
      <c r="AL22" s="2">
        <v>0</v>
      </c>
      <c r="AM22" s="2">
        <v>81</v>
      </c>
      <c r="AN22" s="2">
        <v>0</v>
      </c>
      <c r="AO22" s="2">
        <v>0</v>
      </c>
      <c r="AP22" s="2">
        <v>0</v>
      </c>
      <c r="AQ22" s="1" t="s">
        <v>66</v>
      </c>
      <c r="AR22" s="2">
        <v>0</v>
      </c>
      <c r="AS22" s="1" t="s">
        <v>66</v>
      </c>
      <c r="AT22" s="3">
        <v>12278.3896484375</v>
      </c>
      <c r="AU22" s="3">
        <v>5378.39013671875</v>
      </c>
      <c r="AV22" s="3">
        <v>12278.3896484375</v>
      </c>
      <c r="AW22" s="3">
        <v>12278.3896484375</v>
      </c>
      <c r="AX22" s="3">
        <v>12278.3896484375</v>
      </c>
      <c r="AY22" s="3">
        <v>552</v>
      </c>
      <c r="AZ22" s="3">
        <v>12830.3896484375</v>
      </c>
      <c r="BA22" s="2">
        <v>0</v>
      </c>
      <c r="BB22" s="3">
        <v>2309.4701367187499</v>
      </c>
      <c r="BC22" s="3">
        <v>15139.85978515625</v>
      </c>
    </row>
    <row r="23" spans="1:55">
      <c r="A23" s="2">
        <v>2025</v>
      </c>
      <c r="B23" s="2">
        <v>5</v>
      </c>
      <c r="C23" s="2">
        <v>4</v>
      </c>
      <c r="D23" s="2">
        <v>786490</v>
      </c>
      <c r="E23" s="1" t="s">
        <v>114</v>
      </c>
      <c r="F23" s="1" t="s">
        <v>56</v>
      </c>
      <c r="G23" s="1" t="s">
        <v>77</v>
      </c>
      <c r="H23" s="1" t="s">
        <v>58</v>
      </c>
      <c r="I23" s="1" t="s">
        <v>112</v>
      </c>
      <c r="J23" s="1" t="s">
        <v>60</v>
      </c>
      <c r="K23" s="1" t="s">
        <v>61</v>
      </c>
      <c r="L23" s="1" t="s">
        <v>62</v>
      </c>
      <c r="M23" s="1" t="s">
        <v>63</v>
      </c>
      <c r="N23" s="1" t="s">
        <v>115</v>
      </c>
      <c r="O23" s="1" t="s">
        <v>65</v>
      </c>
      <c r="P23" s="2">
        <v>228</v>
      </c>
      <c r="Q23" s="2">
        <v>5</v>
      </c>
      <c r="R23" s="2">
        <v>0</v>
      </c>
      <c r="S23" s="2">
        <v>153</v>
      </c>
      <c r="T23" s="2">
        <v>75</v>
      </c>
      <c r="U23" s="2">
        <v>228</v>
      </c>
      <c r="V23" s="2">
        <v>10</v>
      </c>
      <c r="W23" s="2">
        <v>23</v>
      </c>
      <c r="X23" s="3">
        <v>417.989990234375</v>
      </c>
      <c r="Y23" s="2">
        <v>125</v>
      </c>
      <c r="Z23" s="2">
        <v>0</v>
      </c>
      <c r="AA23" s="2">
        <v>5825</v>
      </c>
      <c r="AB23" s="2">
        <v>540</v>
      </c>
      <c r="AC23" s="2">
        <v>505</v>
      </c>
      <c r="AD23" s="2">
        <v>0</v>
      </c>
      <c r="AE23" s="2">
        <v>0</v>
      </c>
      <c r="AF23" s="2">
        <v>800</v>
      </c>
      <c r="AG23" s="2">
        <v>0</v>
      </c>
      <c r="AH23" s="2">
        <v>0</v>
      </c>
      <c r="AI23" s="2">
        <v>231</v>
      </c>
      <c r="AJ23" s="2">
        <v>0</v>
      </c>
      <c r="AK23" s="2">
        <v>3420</v>
      </c>
      <c r="AL23" s="2">
        <v>0</v>
      </c>
      <c r="AM23" s="3">
        <v>81.517166137695313</v>
      </c>
      <c r="AN23" s="2">
        <v>0</v>
      </c>
      <c r="AO23" s="2">
        <v>0</v>
      </c>
      <c r="AP23" s="2">
        <v>0</v>
      </c>
      <c r="AQ23" s="1" t="s">
        <v>66</v>
      </c>
      <c r="AR23" s="2">
        <v>77</v>
      </c>
      <c r="AS23" s="1" t="s">
        <v>67</v>
      </c>
      <c r="AT23" s="2">
        <v>11321</v>
      </c>
      <c r="AU23" s="2">
        <v>5496</v>
      </c>
      <c r="AV23" s="2">
        <v>11321</v>
      </c>
      <c r="AW23" s="2">
        <v>11321</v>
      </c>
      <c r="AX23" s="2">
        <v>11244</v>
      </c>
      <c r="AY23" s="3">
        <v>466</v>
      </c>
      <c r="AZ23" s="3">
        <v>11710</v>
      </c>
      <c r="BA23" s="2">
        <v>0</v>
      </c>
      <c r="BB23" s="3">
        <v>2107.7999999999997</v>
      </c>
      <c r="BC23" s="3">
        <v>13817.8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J2" sqref="J2"/>
    </sheetView>
  </sheetViews>
  <sheetFormatPr defaultRowHeight="14.25"/>
  <cols>
    <col min="1" max="1" width="8.75" customWidth="1"/>
    <col min="2" max="2" width="37.5" bestFit="1" customWidth="1"/>
    <col min="3" max="3" width="10" customWidth="1"/>
    <col min="4" max="4" width="16.125" customWidth="1"/>
  </cols>
  <sheetData>
    <row r="1" spans="1:8" ht="30">
      <c r="A1" s="5" t="s">
        <v>3</v>
      </c>
      <c r="B1" s="5" t="s">
        <v>4</v>
      </c>
      <c r="C1" s="6" t="s">
        <v>15</v>
      </c>
      <c r="D1" s="6" t="s">
        <v>49</v>
      </c>
      <c r="E1" s="7" t="s">
        <v>116</v>
      </c>
      <c r="F1" s="7" t="s">
        <v>117</v>
      </c>
      <c r="G1" s="7" t="s">
        <v>118</v>
      </c>
      <c r="H1" s="7" t="s">
        <v>119</v>
      </c>
    </row>
    <row r="2" spans="1:8" ht="15">
      <c r="A2" s="8">
        <v>735193</v>
      </c>
      <c r="B2" s="8" t="s">
        <v>55</v>
      </c>
      <c r="C2" s="8">
        <v>63</v>
      </c>
      <c r="D2" s="9">
        <v>1884</v>
      </c>
      <c r="E2" s="8">
        <f>220*10</f>
        <v>2200</v>
      </c>
      <c r="F2" s="8">
        <v>500</v>
      </c>
      <c r="G2" s="8">
        <v>0</v>
      </c>
      <c r="H2" s="11">
        <f>D2-E2-F2-G2</f>
        <v>-816</v>
      </c>
    </row>
    <row r="3" spans="1:8" ht="15">
      <c r="A3" s="8">
        <v>744645</v>
      </c>
      <c r="B3" s="8" t="s">
        <v>68</v>
      </c>
      <c r="C3" s="8">
        <v>45</v>
      </c>
      <c r="D3" s="9">
        <v>1419</v>
      </c>
      <c r="E3" s="8">
        <f t="shared" ref="E3:E22" si="0">220*10</f>
        <v>2200</v>
      </c>
      <c r="F3" s="8">
        <v>0</v>
      </c>
      <c r="G3" s="8">
        <v>0</v>
      </c>
      <c r="H3" s="11">
        <f t="shared" ref="H3:H22" si="1">D3-E3-F3-G3</f>
        <v>-781</v>
      </c>
    </row>
    <row r="4" spans="1:8" ht="15">
      <c r="A4" s="8">
        <v>746897</v>
      </c>
      <c r="B4" s="8" t="s">
        <v>69</v>
      </c>
      <c r="C4" s="8">
        <v>5</v>
      </c>
      <c r="D4" s="9">
        <v>179</v>
      </c>
      <c r="E4" s="8">
        <v>0</v>
      </c>
      <c r="F4" s="8">
        <v>0</v>
      </c>
      <c r="G4" s="8">
        <v>0</v>
      </c>
      <c r="H4" s="11">
        <f t="shared" si="1"/>
        <v>179</v>
      </c>
    </row>
    <row r="5" spans="1:8" ht="15">
      <c r="A5" s="8">
        <v>753406</v>
      </c>
      <c r="B5" s="8" t="s">
        <v>72</v>
      </c>
      <c r="C5" s="8">
        <v>113</v>
      </c>
      <c r="D5" s="9">
        <v>5278</v>
      </c>
      <c r="E5" s="8">
        <f t="shared" si="0"/>
        <v>2200</v>
      </c>
      <c r="F5" s="8">
        <v>500</v>
      </c>
      <c r="G5" s="8">
        <v>0</v>
      </c>
      <c r="H5" s="11">
        <f t="shared" si="1"/>
        <v>2578</v>
      </c>
    </row>
    <row r="6" spans="1:8" ht="15">
      <c r="A6" s="8">
        <v>754583</v>
      </c>
      <c r="B6" s="8" t="s">
        <v>73</v>
      </c>
      <c r="C6" s="8">
        <v>97</v>
      </c>
      <c r="D6" s="9">
        <v>4366</v>
      </c>
      <c r="E6" s="8">
        <f t="shared" si="0"/>
        <v>2200</v>
      </c>
      <c r="F6" s="8">
        <v>0</v>
      </c>
      <c r="G6" s="8">
        <v>0</v>
      </c>
      <c r="H6" s="11">
        <f t="shared" si="1"/>
        <v>2166</v>
      </c>
    </row>
    <row r="7" spans="1:8" ht="15">
      <c r="A7" s="8">
        <v>784832</v>
      </c>
      <c r="B7" s="8" t="s">
        <v>74</v>
      </c>
      <c r="C7" s="8">
        <v>197</v>
      </c>
      <c r="D7" s="9">
        <v>13097</v>
      </c>
      <c r="E7" s="8">
        <f t="shared" si="0"/>
        <v>2200</v>
      </c>
      <c r="F7" s="8">
        <v>0</v>
      </c>
      <c r="G7" s="8">
        <v>0</v>
      </c>
      <c r="H7" s="11">
        <f t="shared" si="1"/>
        <v>10897</v>
      </c>
    </row>
    <row r="8" spans="1:8" ht="15">
      <c r="A8" s="8">
        <v>791546</v>
      </c>
      <c r="B8" s="8" t="s">
        <v>75</v>
      </c>
      <c r="C8" s="8">
        <v>8</v>
      </c>
      <c r="D8" s="9">
        <v>260</v>
      </c>
      <c r="E8" s="8">
        <v>0</v>
      </c>
      <c r="F8" s="8">
        <v>0</v>
      </c>
      <c r="G8" s="8">
        <v>0</v>
      </c>
      <c r="H8" s="11">
        <f t="shared" si="1"/>
        <v>260</v>
      </c>
    </row>
    <row r="9" spans="1:8" ht="15">
      <c r="A9" s="8">
        <v>794501</v>
      </c>
      <c r="B9" s="8" t="s">
        <v>76</v>
      </c>
      <c r="C9" s="8">
        <v>84</v>
      </c>
      <c r="D9" s="10">
        <v>3122.300048828125</v>
      </c>
      <c r="E9" s="8">
        <v>0</v>
      </c>
      <c r="F9" s="8">
        <v>0</v>
      </c>
      <c r="G9" s="8">
        <v>0</v>
      </c>
      <c r="H9" s="11">
        <f t="shared" si="1"/>
        <v>3122.300048828125</v>
      </c>
    </row>
    <row r="10" spans="1:8" ht="15">
      <c r="A10" s="8">
        <v>738700</v>
      </c>
      <c r="B10" s="8" t="s">
        <v>78</v>
      </c>
      <c r="C10" s="8">
        <v>201</v>
      </c>
      <c r="D10" s="9">
        <v>10504</v>
      </c>
      <c r="E10" s="8">
        <v>0</v>
      </c>
      <c r="F10" s="8">
        <v>0</v>
      </c>
      <c r="G10" s="8">
        <v>0</v>
      </c>
      <c r="H10" s="11">
        <f t="shared" si="1"/>
        <v>10504</v>
      </c>
    </row>
    <row r="11" spans="1:8" ht="15">
      <c r="A11" s="8">
        <v>793831</v>
      </c>
      <c r="B11" s="8" t="s">
        <v>82</v>
      </c>
      <c r="C11" s="8">
        <v>52</v>
      </c>
      <c r="D11" s="10">
        <v>1491.1500244140625</v>
      </c>
      <c r="E11" s="8">
        <v>1540</v>
      </c>
      <c r="F11" s="8">
        <v>0</v>
      </c>
      <c r="G11" s="8">
        <v>0</v>
      </c>
      <c r="H11" s="11">
        <f t="shared" si="1"/>
        <v>-48.8499755859375</v>
      </c>
    </row>
    <row r="12" spans="1:8" ht="15">
      <c r="A12" s="8">
        <v>741275</v>
      </c>
      <c r="B12" s="8" t="s">
        <v>83</v>
      </c>
      <c r="C12" s="8">
        <v>214</v>
      </c>
      <c r="D12" s="9">
        <v>15355</v>
      </c>
      <c r="E12" s="8">
        <f t="shared" si="0"/>
        <v>2200</v>
      </c>
      <c r="F12" s="8">
        <v>2000</v>
      </c>
      <c r="G12" s="8">
        <v>0</v>
      </c>
      <c r="H12" s="11">
        <f t="shared" si="1"/>
        <v>11155</v>
      </c>
    </row>
    <row r="13" spans="1:8" ht="15">
      <c r="A13" s="8">
        <v>793343</v>
      </c>
      <c r="B13" s="8" t="s">
        <v>86</v>
      </c>
      <c r="C13" s="8">
        <v>131</v>
      </c>
      <c r="D13" s="10">
        <v>8299.4501953125</v>
      </c>
      <c r="E13" s="8">
        <v>1980</v>
      </c>
      <c r="F13" s="8">
        <v>0</v>
      </c>
      <c r="G13" s="8">
        <v>0</v>
      </c>
      <c r="H13" s="11">
        <f t="shared" si="1"/>
        <v>6319.4501953125</v>
      </c>
    </row>
    <row r="14" spans="1:8" ht="15">
      <c r="A14" s="8">
        <v>793265</v>
      </c>
      <c r="B14" s="8" t="s">
        <v>89</v>
      </c>
      <c r="C14" s="8">
        <v>41</v>
      </c>
      <c r="D14" s="9">
        <v>1477</v>
      </c>
      <c r="E14" s="8">
        <v>1540</v>
      </c>
      <c r="F14" s="8">
        <v>0</v>
      </c>
      <c r="G14" s="8">
        <v>0</v>
      </c>
      <c r="H14" s="11">
        <f t="shared" si="1"/>
        <v>-63</v>
      </c>
    </row>
    <row r="15" spans="1:8" ht="15">
      <c r="A15" s="8">
        <v>784299</v>
      </c>
      <c r="B15" s="8" t="s">
        <v>92</v>
      </c>
      <c r="C15" s="8">
        <v>200</v>
      </c>
      <c r="D15" s="10">
        <v>13930.580078125</v>
      </c>
      <c r="E15" s="8">
        <f t="shared" si="0"/>
        <v>2200</v>
      </c>
      <c r="F15" s="8">
        <v>0</v>
      </c>
      <c r="G15" s="8">
        <v>0</v>
      </c>
      <c r="H15" s="11">
        <f t="shared" si="1"/>
        <v>11730.580078125</v>
      </c>
    </row>
    <row r="16" spans="1:8" ht="15">
      <c r="A16" s="8">
        <v>757911</v>
      </c>
      <c r="B16" s="8" t="s">
        <v>95</v>
      </c>
      <c r="C16" s="8">
        <v>312</v>
      </c>
      <c r="D16" s="10">
        <v>16615.08984375</v>
      </c>
      <c r="E16" s="8">
        <v>2000</v>
      </c>
      <c r="F16" s="8">
        <v>3000</v>
      </c>
      <c r="G16" s="8">
        <v>0</v>
      </c>
      <c r="H16" s="11">
        <f t="shared" si="1"/>
        <v>11615.08984375</v>
      </c>
    </row>
    <row r="17" spans="1:8" ht="15">
      <c r="A17" s="8">
        <v>763173</v>
      </c>
      <c r="B17" s="8" t="s">
        <v>98</v>
      </c>
      <c r="C17" s="8">
        <v>271</v>
      </c>
      <c r="D17" s="9">
        <v>17079</v>
      </c>
      <c r="E17" s="8">
        <f t="shared" si="0"/>
        <v>2200</v>
      </c>
      <c r="F17" s="8">
        <v>0</v>
      </c>
      <c r="G17" s="8">
        <v>0</v>
      </c>
      <c r="H17" s="11">
        <f t="shared" si="1"/>
        <v>14879</v>
      </c>
    </row>
    <row r="18" spans="1:8" ht="15">
      <c r="A18" s="8">
        <v>792785</v>
      </c>
      <c r="B18" s="8" t="s">
        <v>101</v>
      </c>
      <c r="C18" s="8">
        <v>1</v>
      </c>
      <c r="D18" s="9">
        <v>35</v>
      </c>
      <c r="E18" s="8">
        <v>0</v>
      </c>
      <c r="F18" s="8">
        <v>0</v>
      </c>
      <c r="G18" s="8">
        <v>0</v>
      </c>
      <c r="H18" s="11">
        <f t="shared" si="1"/>
        <v>35</v>
      </c>
    </row>
    <row r="19" spans="1:8" ht="15">
      <c r="A19" s="8">
        <v>794453</v>
      </c>
      <c r="B19" s="8" t="s">
        <v>102</v>
      </c>
      <c r="C19" s="8">
        <v>50</v>
      </c>
      <c r="D19" s="9">
        <v>1568</v>
      </c>
      <c r="E19" s="8">
        <f>220*6</f>
        <v>1320</v>
      </c>
      <c r="F19" s="8">
        <v>0</v>
      </c>
      <c r="G19" s="8">
        <v>0</v>
      </c>
      <c r="H19" s="11">
        <f t="shared" si="1"/>
        <v>248</v>
      </c>
    </row>
    <row r="20" spans="1:8" ht="15">
      <c r="A20" s="8">
        <v>780996</v>
      </c>
      <c r="B20" s="8" t="s">
        <v>108</v>
      </c>
      <c r="C20" s="8">
        <v>2</v>
      </c>
      <c r="D20" s="9">
        <v>66</v>
      </c>
      <c r="E20" s="8">
        <v>0</v>
      </c>
      <c r="F20" s="8">
        <v>0</v>
      </c>
      <c r="G20" s="8">
        <v>0</v>
      </c>
      <c r="H20" s="11">
        <f t="shared" si="1"/>
        <v>66</v>
      </c>
    </row>
    <row r="21" spans="1:8" ht="15">
      <c r="A21" s="8">
        <v>756144</v>
      </c>
      <c r="B21" s="8" t="s">
        <v>120</v>
      </c>
      <c r="C21" s="8">
        <v>226</v>
      </c>
      <c r="D21" s="10">
        <v>12278.3896484375</v>
      </c>
      <c r="E21" s="8">
        <f t="shared" si="0"/>
        <v>2200</v>
      </c>
      <c r="F21" s="8">
        <v>0</v>
      </c>
      <c r="G21" s="8">
        <v>0</v>
      </c>
      <c r="H21" s="11">
        <f t="shared" si="1"/>
        <v>10078.3896484375</v>
      </c>
    </row>
    <row r="22" spans="1:8" ht="15">
      <c r="A22" s="8">
        <v>786490</v>
      </c>
      <c r="B22" s="8" t="s">
        <v>121</v>
      </c>
      <c r="C22" s="8">
        <v>228</v>
      </c>
      <c r="D22" s="9">
        <v>11244</v>
      </c>
      <c r="E22" s="8">
        <f t="shared" si="0"/>
        <v>2200</v>
      </c>
      <c r="F22" s="8">
        <v>0</v>
      </c>
      <c r="G22" s="8">
        <v>0</v>
      </c>
      <c r="H22" s="11">
        <f t="shared" si="1"/>
        <v>9044</v>
      </c>
    </row>
    <row r="23" spans="1:8">
      <c r="C23">
        <f>SUM(C2:C22)</f>
        <v>2541</v>
      </c>
      <c r="D23">
        <f t="shared" ref="D23:H23" si="2">SUM(D2:D22)</f>
        <v>139547.95983886719</v>
      </c>
      <c r="E23">
        <f t="shared" si="2"/>
        <v>30380</v>
      </c>
      <c r="F23">
        <f t="shared" si="2"/>
        <v>6000</v>
      </c>
      <c r="G23">
        <f t="shared" si="2"/>
        <v>0</v>
      </c>
      <c r="H23">
        <f t="shared" si="2"/>
        <v>103167.95983886719</v>
      </c>
    </row>
  </sheetData>
  <autoFilter ref="A1:H2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4"/>
  <sheetViews>
    <sheetView workbookViewId="0">
      <selection activeCell="C6" sqref="C6"/>
    </sheetView>
  </sheetViews>
  <sheetFormatPr defaultRowHeight="14.25"/>
  <cols>
    <col min="3" max="3" width="21.625" customWidth="1"/>
    <col min="10" max="10" width="11.25" bestFit="1" customWidth="1"/>
    <col min="11" max="11" width="16" bestFit="1" customWidth="1"/>
    <col min="12" max="12" width="12.125" customWidth="1"/>
    <col min="13" max="13" width="17.5" bestFit="1" customWidth="1"/>
  </cols>
  <sheetData>
    <row r="1" spans="2:16" ht="15">
      <c r="B1" s="17" t="s">
        <v>122</v>
      </c>
      <c r="C1" s="17" t="s">
        <v>123</v>
      </c>
      <c r="D1" s="17" t="s">
        <v>124</v>
      </c>
      <c r="E1" s="17" t="s">
        <v>125</v>
      </c>
      <c r="F1" s="17" t="s">
        <v>116</v>
      </c>
      <c r="G1" s="17" t="s">
        <v>117</v>
      </c>
      <c r="H1" s="17" t="s">
        <v>118</v>
      </c>
      <c r="I1" s="17" t="s">
        <v>161</v>
      </c>
      <c r="J1" s="17" t="s">
        <v>162</v>
      </c>
      <c r="K1" s="17" t="s">
        <v>150</v>
      </c>
      <c r="L1" s="17" t="s">
        <v>151</v>
      </c>
      <c r="M1" s="17" t="s">
        <v>152</v>
      </c>
      <c r="N1" s="17" t="s">
        <v>155</v>
      </c>
      <c r="O1" s="17" t="s">
        <v>156</v>
      </c>
      <c r="P1" s="17" t="s">
        <v>157</v>
      </c>
    </row>
    <row r="2" spans="2:16" ht="15">
      <c r="B2" s="8">
        <v>753406</v>
      </c>
      <c r="C2" s="8" t="s">
        <v>130</v>
      </c>
      <c r="D2" s="8">
        <v>113</v>
      </c>
      <c r="E2" s="9">
        <v>5278</v>
      </c>
      <c r="F2" s="8">
        <v>2200</v>
      </c>
      <c r="G2" s="8">
        <v>500</v>
      </c>
      <c r="H2" s="8">
        <v>0</v>
      </c>
      <c r="I2" s="11">
        <v>2578</v>
      </c>
      <c r="J2" s="11">
        <f>((I2)-I2*0.01)</f>
        <v>2552.2199999999998</v>
      </c>
      <c r="K2" s="12">
        <v>39321585102</v>
      </c>
      <c r="L2" s="13" t="s">
        <v>137</v>
      </c>
      <c r="M2" s="13" t="s">
        <v>138</v>
      </c>
      <c r="N2" s="4"/>
      <c r="O2" s="4"/>
      <c r="P2" s="4"/>
    </row>
    <row r="3" spans="2:16" ht="15">
      <c r="B3" s="8">
        <v>754583</v>
      </c>
      <c r="C3" s="8" t="s">
        <v>129</v>
      </c>
      <c r="D3" s="8">
        <v>97</v>
      </c>
      <c r="E3" s="9">
        <v>4366</v>
      </c>
      <c r="F3" s="8">
        <v>2200</v>
      </c>
      <c r="G3" s="8">
        <v>0</v>
      </c>
      <c r="H3" s="8">
        <v>0</v>
      </c>
      <c r="I3" s="11">
        <v>2166</v>
      </c>
      <c r="J3" s="11">
        <f t="shared" ref="J3:J14" si="0">((I3)-I3*0.01)</f>
        <v>2144.34</v>
      </c>
      <c r="K3" s="12">
        <v>7446480861</v>
      </c>
      <c r="L3" s="13" t="s">
        <v>132</v>
      </c>
      <c r="M3" s="13" t="s">
        <v>133</v>
      </c>
      <c r="N3" s="4"/>
      <c r="O3" s="4"/>
      <c r="P3" s="4"/>
    </row>
    <row r="4" spans="2:16" ht="15">
      <c r="B4" s="8">
        <v>784832</v>
      </c>
      <c r="C4" s="8" t="s">
        <v>128</v>
      </c>
      <c r="D4" s="8">
        <v>197</v>
      </c>
      <c r="E4" s="9">
        <v>13097</v>
      </c>
      <c r="F4" s="8">
        <v>2200</v>
      </c>
      <c r="G4" s="8">
        <v>0</v>
      </c>
      <c r="H4" s="8">
        <v>0</v>
      </c>
      <c r="I4" s="11">
        <v>10897</v>
      </c>
      <c r="J4" s="11">
        <f t="shared" si="0"/>
        <v>10788.03</v>
      </c>
      <c r="K4" s="14" t="s">
        <v>134</v>
      </c>
      <c r="L4" s="13" t="s">
        <v>135</v>
      </c>
      <c r="M4" s="13" t="s">
        <v>136</v>
      </c>
      <c r="N4" s="4"/>
      <c r="O4" s="4"/>
      <c r="P4" s="4"/>
    </row>
    <row r="5" spans="2:16" ht="15">
      <c r="B5" s="8">
        <v>794501</v>
      </c>
      <c r="C5" s="8" t="s">
        <v>76</v>
      </c>
      <c r="D5" s="8">
        <v>84</v>
      </c>
      <c r="E5" s="10">
        <v>3122.300048828125</v>
      </c>
      <c r="F5" s="8">
        <v>0</v>
      </c>
      <c r="G5" s="8">
        <v>0</v>
      </c>
      <c r="H5" s="8">
        <v>0</v>
      </c>
      <c r="I5" s="11">
        <v>3122.300048828125</v>
      </c>
      <c r="J5" s="11">
        <f>((I5)-I5*0.01)</f>
        <v>3091.0770483398437</v>
      </c>
      <c r="K5" s="12">
        <v>39321585102</v>
      </c>
      <c r="L5" s="13" t="s">
        <v>137</v>
      </c>
      <c r="M5" s="13" t="s">
        <v>138</v>
      </c>
      <c r="N5" s="4"/>
      <c r="O5" s="4"/>
      <c r="P5" s="4"/>
    </row>
    <row r="6" spans="2:16" ht="15">
      <c r="B6" s="8">
        <v>738700</v>
      </c>
      <c r="C6" s="8" t="s">
        <v>78</v>
      </c>
      <c r="D6" s="8">
        <v>201</v>
      </c>
      <c r="E6" s="9">
        <v>10504</v>
      </c>
      <c r="F6" s="8">
        <v>0</v>
      </c>
      <c r="G6" s="8">
        <v>0</v>
      </c>
      <c r="H6" s="8">
        <v>0</v>
      </c>
      <c r="I6" s="11">
        <v>10504</v>
      </c>
      <c r="J6" s="11">
        <f t="shared" si="0"/>
        <v>10398.959999999999</v>
      </c>
      <c r="K6" s="12">
        <v>68035888954</v>
      </c>
      <c r="L6" s="13" t="s">
        <v>139</v>
      </c>
      <c r="M6" s="13" t="s">
        <v>140</v>
      </c>
      <c r="N6" s="4"/>
      <c r="O6" s="4"/>
      <c r="P6" s="4"/>
    </row>
    <row r="7" spans="2:16" ht="15">
      <c r="B7" s="8">
        <v>741275</v>
      </c>
      <c r="C7" s="8" t="s">
        <v>127</v>
      </c>
      <c r="D7" s="8">
        <v>214</v>
      </c>
      <c r="E7" s="9">
        <v>15355</v>
      </c>
      <c r="F7" s="8">
        <v>2200</v>
      </c>
      <c r="G7" s="8">
        <v>2000</v>
      </c>
      <c r="H7" s="8">
        <v>0</v>
      </c>
      <c r="I7" s="11">
        <v>11155</v>
      </c>
      <c r="J7" s="11">
        <f t="shared" si="0"/>
        <v>11043.45</v>
      </c>
      <c r="K7" s="12" t="s">
        <v>141</v>
      </c>
      <c r="L7" s="13" t="s">
        <v>142</v>
      </c>
      <c r="M7" s="13" t="s">
        <v>143</v>
      </c>
      <c r="N7" s="4"/>
      <c r="O7" s="4"/>
      <c r="P7" s="4"/>
    </row>
    <row r="8" spans="2:16" ht="15">
      <c r="B8" s="8">
        <v>793343</v>
      </c>
      <c r="C8" s="8" t="s">
        <v>86</v>
      </c>
      <c r="D8" s="8">
        <v>131</v>
      </c>
      <c r="E8" s="10">
        <v>8299.4501953125</v>
      </c>
      <c r="F8" s="8">
        <v>1980</v>
      </c>
      <c r="G8" s="8">
        <v>0</v>
      </c>
      <c r="H8" s="8">
        <v>0</v>
      </c>
      <c r="I8" s="11">
        <v>6319.4501953125</v>
      </c>
      <c r="J8" s="11">
        <f t="shared" si="0"/>
        <v>6256.2556933593751</v>
      </c>
      <c r="K8" s="18">
        <v>750302010016829</v>
      </c>
      <c r="L8" s="8" t="s">
        <v>153</v>
      </c>
      <c r="M8" s="8" t="s">
        <v>154</v>
      </c>
      <c r="N8" s="4"/>
      <c r="O8" s="4"/>
      <c r="P8" s="4"/>
    </row>
    <row r="9" spans="2:16" ht="15">
      <c r="B9" s="8">
        <v>784299</v>
      </c>
      <c r="C9" s="8" t="s">
        <v>92</v>
      </c>
      <c r="D9" s="8">
        <v>200</v>
      </c>
      <c r="E9" s="10">
        <v>13930.580078125</v>
      </c>
      <c r="F9" s="8">
        <v>2200</v>
      </c>
      <c r="G9" s="8">
        <v>0</v>
      </c>
      <c r="H9" s="8">
        <v>0</v>
      </c>
      <c r="I9" s="11">
        <v>11730.580078125</v>
      </c>
      <c r="J9" s="11">
        <f t="shared" si="0"/>
        <v>11613.274277343749</v>
      </c>
      <c r="K9" s="12" t="s">
        <v>144</v>
      </c>
      <c r="L9" s="13" t="s">
        <v>145</v>
      </c>
      <c r="M9" s="13" t="s">
        <v>146</v>
      </c>
      <c r="N9" s="4"/>
      <c r="O9" s="4"/>
      <c r="P9" s="4"/>
    </row>
    <row r="10" spans="2:16" ht="15">
      <c r="B10" s="8">
        <v>757911</v>
      </c>
      <c r="C10" s="8" t="s">
        <v>126</v>
      </c>
      <c r="D10" s="8">
        <v>312</v>
      </c>
      <c r="E10" s="10">
        <v>16615.08984375</v>
      </c>
      <c r="F10" s="8">
        <v>2000</v>
      </c>
      <c r="G10" s="8">
        <v>3000</v>
      </c>
      <c r="H10" s="8">
        <v>0</v>
      </c>
      <c r="I10" s="11">
        <v>11615.08984375</v>
      </c>
      <c r="J10" s="11">
        <f t="shared" si="0"/>
        <v>11498.9389453125</v>
      </c>
      <c r="K10" s="12">
        <v>921010042861859</v>
      </c>
      <c r="L10" s="13" t="s">
        <v>147</v>
      </c>
      <c r="M10" s="13" t="s">
        <v>136</v>
      </c>
      <c r="N10" s="4"/>
      <c r="O10" s="4"/>
      <c r="P10" s="4"/>
    </row>
    <row r="11" spans="2:16" ht="15">
      <c r="B11" s="8">
        <v>763173</v>
      </c>
      <c r="C11" s="8" t="s">
        <v>131</v>
      </c>
      <c r="D11" s="8">
        <v>271</v>
      </c>
      <c r="E11" s="9">
        <v>17079</v>
      </c>
      <c r="F11" s="8">
        <v>2200</v>
      </c>
      <c r="G11" s="8">
        <v>0</v>
      </c>
      <c r="H11" s="8">
        <v>0</v>
      </c>
      <c r="I11" s="11">
        <f>14879+51+5132+17494</f>
        <v>37556</v>
      </c>
      <c r="J11" s="11">
        <f t="shared" si="0"/>
        <v>37180.44</v>
      </c>
      <c r="K11" s="8">
        <v>548865079</v>
      </c>
      <c r="L11" s="8" t="s">
        <v>158</v>
      </c>
      <c r="M11" s="13" t="s">
        <v>133</v>
      </c>
      <c r="N11" s="8">
        <v>51</v>
      </c>
      <c r="O11" s="8">
        <v>5132</v>
      </c>
      <c r="P11" s="8">
        <v>17494</v>
      </c>
    </row>
    <row r="12" spans="2:16" ht="15">
      <c r="B12" s="8">
        <v>794453</v>
      </c>
      <c r="C12" s="8" t="s">
        <v>102</v>
      </c>
      <c r="D12" s="8">
        <v>50</v>
      </c>
      <c r="E12" s="9">
        <v>1568</v>
      </c>
      <c r="F12" s="8">
        <v>1320</v>
      </c>
      <c r="G12" s="8">
        <v>0</v>
      </c>
      <c r="H12" s="8">
        <v>0</v>
      </c>
      <c r="I12" s="11">
        <v>248</v>
      </c>
      <c r="J12" s="11">
        <f t="shared" si="0"/>
        <v>245.52</v>
      </c>
      <c r="K12" s="19">
        <v>35050110009499</v>
      </c>
      <c r="L12" s="13" t="s">
        <v>159</v>
      </c>
      <c r="M12" s="13" t="s">
        <v>160</v>
      </c>
      <c r="N12" s="13"/>
      <c r="O12" s="13"/>
      <c r="P12" s="13"/>
    </row>
    <row r="13" spans="2:16" ht="15">
      <c r="B13" s="8">
        <v>756144</v>
      </c>
      <c r="C13" s="8" t="s">
        <v>120</v>
      </c>
      <c r="D13" s="8">
        <v>226</v>
      </c>
      <c r="E13" s="10">
        <v>12278.3896484375</v>
      </c>
      <c r="F13" s="8">
        <v>2200</v>
      </c>
      <c r="G13" s="8">
        <v>0</v>
      </c>
      <c r="H13" s="8">
        <v>0</v>
      </c>
      <c r="I13" s="11">
        <v>10078.3896484375</v>
      </c>
      <c r="J13" s="11">
        <f t="shared" si="0"/>
        <v>9977.6057519531241</v>
      </c>
      <c r="K13" s="12">
        <v>31194991598</v>
      </c>
      <c r="L13" s="13" t="s">
        <v>148</v>
      </c>
      <c r="M13" s="13" t="s">
        <v>138</v>
      </c>
      <c r="N13" s="4"/>
      <c r="O13" s="4"/>
      <c r="P13" s="4"/>
    </row>
    <row r="14" spans="2:16" ht="15">
      <c r="B14" s="8">
        <v>786490</v>
      </c>
      <c r="C14" s="8" t="s">
        <v>121</v>
      </c>
      <c r="D14" s="8">
        <v>228</v>
      </c>
      <c r="E14" s="9">
        <v>11244</v>
      </c>
      <c r="F14" s="8">
        <v>2200</v>
      </c>
      <c r="G14" s="8">
        <v>0</v>
      </c>
      <c r="H14" s="8">
        <v>0</v>
      </c>
      <c r="I14" s="11">
        <v>9044</v>
      </c>
      <c r="J14" s="11">
        <f t="shared" si="0"/>
        <v>8953.56</v>
      </c>
      <c r="K14" s="15">
        <v>4050174360</v>
      </c>
      <c r="L14" s="16" t="s">
        <v>149</v>
      </c>
      <c r="M14" s="16" t="s">
        <v>133</v>
      </c>
      <c r="N14" s="4"/>
      <c r="O14" s="4"/>
      <c r="P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2025-06-02T07:32:09Z</dcterms:created>
  <dcterms:modified xsi:type="dcterms:W3CDTF">2025-08-07T06:44:20Z</dcterms:modified>
</cp:coreProperties>
</file>