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B_payment files\"/>
    </mc:Choice>
  </mc:AlternateContent>
  <bookViews>
    <workbookView xWindow="0" yWindow="0" windowWidth="20490" windowHeight="7455" activeTab="1"/>
  </bookViews>
  <sheets>
    <sheet name="Sheet4" sheetId="5" r:id="rId1"/>
    <sheet name="Sheet1" sheetId="1" r:id="rId2"/>
    <sheet name="Sheet2" sheetId="2" r:id="rId3"/>
    <sheet name="Bank File" sheetId="3" r:id="rId4"/>
    <sheet name="Sheet3" sheetId="4" r:id="rId5"/>
  </sheets>
  <calcPr calcId="152511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" i="2"/>
</calcChain>
</file>

<file path=xl/sharedStrings.xml><?xml version="1.0" encoding="utf-8"?>
<sst xmlns="http://schemas.openxmlformats.org/spreadsheetml/2006/main" count="498" uniqueCount="187">
  <si>
    <t>year</t>
  </si>
  <si>
    <t>month</t>
  </si>
  <si>
    <t>week</t>
  </si>
  <si>
    <t>cee_id</t>
  </si>
  <si>
    <t>cee_name</t>
  </si>
  <si>
    <t>cee_employment_category</t>
  </si>
  <si>
    <t>cee_category</t>
  </si>
  <si>
    <t>city</t>
  </si>
  <si>
    <t>store</t>
  </si>
  <si>
    <t>store_type</t>
  </si>
  <si>
    <t>lmd_provider</t>
  </si>
  <si>
    <t>MG STATUS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</si>
  <si>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</si>
  <si>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</si>
  <si>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</si>
  <si>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</si>
  <si>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</si>
  <si>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</si>
  <si>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</si>
  <si>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</si>
  <si>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</si>
  <si>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</si>
  <si>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</si>
  <si>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</si>
  <si>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cancelled_order_payout</t>
  </si>
  <si>
    <t>pickup_order_payout</t>
  </si>
  <si>
    <t>order_base_payout</t>
  </si>
  <si>
    <t>surge_payout</t>
  </si>
  <si>
    <t>peak_hour_payout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</si>
  <si>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</si>
  <si>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</si>
  <si>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</si>
  <si>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</si>
  <si>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</si>
  <si>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</si>
  <si>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</si>
  <si>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</si>
  <si>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</si>
  <si>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</si>
  <si>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</si>
  <si>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</si>
  <si>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</si>
  <si>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</si>
  <si>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</si>
  <si>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</si>
  <si>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</si>
  <si>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</si>
  <si>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</si>
  <si>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</si>
  <si>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</si>
  <si>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</si>
  <si>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</si>
  <si>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</si>
  <si>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</si>
  <si>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</si>
  <si>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ELERIDEFIRSTDHAMMPAL AVHAD</t>
  </si>
  <si>
    <t>TPL CEE</t>
  </si>
  <si>
    <t>EV</t>
  </si>
  <si>
    <t>PUNE</t>
  </si>
  <si>
    <t>BSPUN-HINJEWADI-GS1</t>
  </si>
  <si>
    <t>INTEGRATED</t>
  </si>
  <si>
    <t>ELERIDE MOBILITY SOLUTIONS PVT LTD</t>
  </si>
  <si>
    <t>SERVICE FEES</t>
  </si>
  <si>
    <t>BIKE</t>
  </si>
  <si>
    <t>INTEGRATED-IBBN-RC-008583-16</t>
  </si>
  <si>
    <t>7 DAYS</t>
  </si>
  <si>
    <t/>
  </si>
  <si>
    <t>ELERIDESUNILDATTATRAY0RAUT</t>
  </si>
  <si>
    <t>SAMADHANJUGADA ELERIDE</t>
  </si>
  <si>
    <t>NEV</t>
  </si>
  <si>
    <t>INTEGRATED-IBBN-RC-008582-17</t>
  </si>
  <si>
    <t>TAPASH KUMAR SAHAELERIDE</t>
  </si>
  <si>
    <t>SHUBHAM MADHUKAR SANGITRAOSANGITRAO ELERIDE</t>
  </si>
  <si>
    <t>IBND DEDUCTION</t>
  </si>
  <si>
    <t>DATTA JADHAVELRD BREAK</t>
  </si>
  <si>
    <t>SAMIR PATELELERD</t>
  </si>
  <si>
    <t>MUKESH BRAMHARAJELERIDE</t>
  </si>
  <si>
    <t>MANJURULLAHKHAN ELERIDE</t>
  </si>
  <si>
    <t>IBND DEDUCTION, IBND DEDUCTION, IBND DEDUCTION, IBND DEDUCTION</t>
  </si>
  <si>
    <t>ADITYAPISE</t>
  </si>
  <si>
    <t>ELERIDEAMAN JADHAV</t>
  </si>
  <si>
    <t>BSPUN-JAGDISHNAGAR-BS2</t>
  </si>
  <si>
    <t>INTEGRATED-IBBN-RC-009659-8</t>
  </si>
  <si>
    <t>PRANAVMAHESH JADHAVJADHAV ELERIDE</t>
  </si>
  <si>
    <t>INTEGRATED-IBBN-RC-009658-9</t>
  </si>
  <si>
    <t>NIKHIL RAJU GUPTELERIDE BREAK</t>
  </si>
  <si>
    <t>BSPUN-KSQARE-BANER-BS1</t>
  </si>
  <si>
    <t>INTEGRATED-IBBN-RC-009931-13</t>
  </si>
  <si>
    <t>IMRANSHAIKH</t>
  </si>
  <si>
    <t>BSPUN-WAKAD-BS1</t>
  </si>
  <si>
    <t>INTEGRATED-IBBN-RC-009932-13</t>
  </si>
  <si>
    <t>EXCEPTION - WEEKLY INCENTIVES</t>
  </si>
  <si>
    <t>VEDANTPANCHAL</t>
  </si>
  <si>
    <t>LATIF SHAIKHELRD BREAK</t>
  </si>
  <si>
    <t>T1EX-PUN-BANER</t>
  </si>
  <si>
    <t>INTEGRATED-IBBN-RC-011702-4</t>
  </si>
  <si>
    <t>ROHAN SUDHKAR CHAVANELRD  BREAK</t>
  </si>
  <si>
    <t>ADESH KUMAR RAWATELERIDE</t>
  </si>
  <si>
    <t>GAURAOJAISWAL</t>
  </si>
  <si>
    <t>T1EX-PUN-PIMPRI</t>
  </si>
  <si>
    <t>INTEGRATED-IBBN-RC-013235-5</t>
  </si>
  <si>
    <t>EV CHARGING DEDUCTION</t>
  </si>
  <si>
    <t>IRFANSHAIKH</t>
  </si>
  <si>
    <t>T1EX-PUN-WADGAONSHERI</t>
  </si>
  <si>
    <t>INTEGRATED-IBBN-RC-009004-20</t>
  </si>
  <si>
    <t>SACHIN NAYASE7350987782</t>
  </si>
  <si>
    <t>T1EX-PUN-WAGHOLI</t>
  </si>
  <si>
    <t>INTEGRATED-IBBN-RC-009587-12</t>
  </si>
  <si>
    <t>SANTOSH NAYASE7517557492</t>
  </si>
  <si>
    <t>LSV</t>
  </si>
  <si>
    <t>INTEGRATED-IBBN-RC-009586-11</t>
  </si>
  <si>
    <t>Rental</t>
  </si>
  <si>
    <t>Advance</t>
  </si>
  <si>
    <t>Negative</t>
  </si>
  <si>
    <t>Final Pay</t>
  </si>
  <si>
    <t>Sr No</t>
  </si>
  <si>
    <t>Name</t>
  </si>
  <si>
    <t>Transfer Type</t>
  </si>
  <si>
    <t>Acc No</t>
  </si>
  <si>
    <t>Amount</t>
  </si>
  <si>
    <t xml:space="preserve">IFSC </t>
  </si>
  <si>
    <t>Bank Name</t>
  </si>
  <si>
    <t>Phone No</t>
  </si>
  <si>
    <t>Remarks</t>
  </si>
  <si>
    <t>PRANAVMAHESH JADHAVJADHAV</t>
  </si>
  <si>
    <t>MR GAURAO SHANKARLAL JAISWAL</t>
  </si>
  <si>
    <t>25034936342</t>
  </si>
  <si>
    <t>MAHB0000059</t>
  </si>
  <si>
    <t>BANK OF MAHARASHTRA</t>
  </si>
  <si>
    <t>Master Sunil D.Raut</t>
  </si>
  <si>
    <t>SBIN0000284</t>
  </si>
  <si>
    <t>SBI BANK</t>
  </si>
  <si>
    <t>Samadhan Dattatray Jugadar</t>
  </si>
  <si>
    <t>BKID0001602</t>
  </si>
  <si>
    <t>Latif Iqbal Shaikh</t>
  </si>
  <si>
    <t>KKBK0001790</t>
  </si>
  <si>
    <t>KOTAK MAHINDRA BANK</t>
  </si>
  <si>
    <t>PANCHAL VEDANT RAMRAO</t>
  </si>
  <si>
    <t>924010043145320</t>
  </si>
  <si>
    <t>UTIB0001576</t>
  </si>
  <si>
    <t>AXIS BANK</t>
  </si>
  <si>
    <t>Dhammpal Anil Avhad</t>
  </si>
  <si>
    <t>003994200001976</t>
  </si>
  <si>
    <t>YESB0000039</t>
  </si>
  <si>
    <t>YES BANK</t>
  </si>
  <si>
    <t>SBIN0017208</t>
  </si>
  <si>
    <t>Datta Jadhav</t>
  </si>
  <si>
    <t>KKBK0000725</t>
  </si>
  <si>
    <t>Mukesh Bramharaj</t>
  </si>
  <si>
    <t>HDFC0007120</t>
  </si>
  <si>
    <t>HDFC BANK</t>
  </si>
  <si>
    <t>SANTOSH AMBADAS NAYSE</t>
  </si>
  <si>
    <t>SBIN0003359</t>
  </si>
  <si>
    <t>Sachin Ambadas Nayse</t>
  </si>
  <si>
    <t>SBIN0000419</t>
  </si>
  <si>
    <t>IMRAN AJEEJ SHAIKH</t>
  </si>
  <si>
    <t>7798145335</t>
  </si>
  <si>
    <t>AIRP0000001</t>
  </si>
  <si>
    <t>AIRTEL PAYMENTS BANK</t>
  </si>
  <si>
    <t>Adesh Kumar Rawat</t>
  </si>
  <si>
    <t>KKBK0005079</t>
  </si>
  <si>
    <t>Rohan Sudhakar Chavhan</t>
  </si>
  <si>
    <t>UTIB0000338</t>
  </si>
  <si>
    <t>Aman Singh</t>
  </si>
  <si>
    <t>1776001700036318</t>
  </si>
  <si>
    <t>PUNB0177600</t>
  </si>
  <si>
    <t>Monuj Rajkonwar</t>
  </si>
  <si>
    <t>Shubham Madhukar Sangitrao</t>
  </si>
  <si>
    <t>NEFT</t>
  </si>
  <si>
    <t>SBIN0000278</t>
  </si>
  <si>
    <t>MANJUR ULLAH KHAN</t>
  </si>
  <si>
    <t>924010043095487</t>
  </si>
  <si>
    <t>UTIB0000168</t>
  </si>
  <si>
    <t>Vikas Maruti Jadhav</t>
  </si>
  <si>
    <t>MAHB0001261</t>
  </si>
  <si>
    <t>SAMEER</t>
  </si>
  <si>
    <t>BARB0VJWARJ</t>
  </si>
  <si>
    <t>BANK OF INDIA</t>
  </si>
  <si>
    <t>BANK OF BARODA</t>
  </si>
  <si>
    <t>PUNJAB NATIONAL BANK</t>
  </si>
  <si>
    <t>Row Labels</t>
  </si>
  <si>
    <t>(blank)</t>
  </si>
  <si>
    <t>Grand Total</t>
  </si>
  <si>
    <t>Sum of delivered_orders</t>
  </si>
  <si>
    <t>Sum of total_with_arrears_and_deductions</t>
  </si>
  <si>
    <t>Sum of management_fee</t>
  </si>
  <si>
    <t>Sum of total_with_management_fee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</si>
</sst>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"/>
    <numFmt numFmtId="165" formatCode="###0.##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01.448517824072" createdVersion="5" refreshedVersion="5" minRefreshableVersion="3" recordCount="23">
  <cacheSource type="worksheet">
    <worksheetSource ref="A1:BC1048576" sheet="Sheet1"/>
  </cacheSource>
  <cacheFields count="55"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5" maxValue="5"/>
    </cacheField>
    <cacheField name="week" numFmtId="0">
      <sharedItems containsString="0" containsBlank="1" containsNumber="1" containsInteger="1" minValue="3" maxValue="3"/>
    </cacheField>
    <cacheField name="cee_id" numFmtId="0">
      <sharedItems containsString="0" containsBlank="1" containsNumber="1" containsInteger="1" minValue="735193" maxValue="791546"/>
    </cacheField>
    <cacheField name="cee_name" numFmtId="0">
      <sharedItems containsBlank="1"/>
    </cacheField>
    <cacheField name="cee_employment_category" numFmtId="0">
      <sharedItems containsBlank="1"/>
    </cacheField>
    <cacheField name="cee_category" numFmtId="0">
      <sharedItems containsBlank="1"/>
    </cacheField>
    <cacheField name="city" numFmtId="0">
      <sharedItems containsBlank="1"/>
    </cacheField>
    <cacheField name="store" numFmtId="0">
      <sharedItems containsBlank="1" count="9">
        <s v="BSPUN-HINJEWADI-GS1"/>
        <s v="BSPUN-JAGDISHNAGAR-BS2"/>
        <s v="BSPUN-KSQARE-BANER-BS1"/>
        <s v="BSPUN-WAKAD-BS1"/>
        <s v="T1EX-PUN-BANER"/>
        <s v="T1EX-PUN-PIMPRI"/>
        <s v="T1EX-PUN-WADGAONSHERI"/>
        <s v="T1EX-PUN-WAGHOLI"/>
        <m/>
      </sharedItems>
    </cacheField>
    <cacheField name="store_type" numFmtId="0">
      <sharedItems containsBlank="1"/>
    </cacheField>
    <cacheField name="lmd_provider" numFmtId="0">
      <sharedItems containsBlank="1"/>
    </cacheField>
    <cacheField name="MG STATUS" numFmtId="0">
      <sharedItems containsBlank="1"/>
    </cacheField>
    <cacheField name="delivery_mode" numFmtId="0">
      <sharedItems containsBlank="1"/>
    </cacheField>
    <cacheField name="rate_card_id" numFmtId="0">
      <sharedItems containsBlank="1"/>
    </cacheField>
    <cacheField name="settlement_frequency" numFmtId="0">
      <sharedItems containsBlank="1"/>
    </cacheField>
    <cacheField name="delivered_orders" numFmtId="0">
      <sharedItems containsString="0" containsBlank="1" containsNumber="1" containsInteger="1" minValue="5" maxValue="180"/>
    </cacheField>
    <cacheField name="cancelled_orders" numFmtId="0">
      <sharedItems containsString="0" containsBlank="1" containsNumber="1" containsInteger="1" minValue="0" maxValue="7"/>
    </cacheField>
    <cacheField name="pickup_orders" numFmtId="0">
      <sharedItems containsString="0" containsBlank="1" containsNumber="1" containsInteger="1" minValue="0" maxValue="1"/>
    </cacheField>
    <cacheField name="weekday_orders" numFmtId="0">
      <sharedItems containsString="0" containsBlank="1" containsNumber="1" containsInteger="1" minValue="0" maxValue="127"/>
    </cacheField>
    <cacheField name="weekend_orders" numFmtId="0">
      <sharedItems containsString="0" containsBlank="1" containsNumber="1" containsInteger="1" minValue="0" maxValue="65"/>
    </cacheField>
    <cacheField name="incentivised_orders" numFmtId="0">
      <sharedItems containsString="0" containsBlank="1" containsNumber="1" containsInteger="1" minValue="5" maxValue="181"/>
    </cacheField>
    <cacheField name="attendance" numFmtId="0">
      <sharedItems containsString="0" containsBlank="1" containsNumber="1" containsInteger="1" minValue="1" maxValue="7"/>
    </cacheField>
    <cacheField name="month_attendance" numFmtId="0">
      <sharedItems containsString="0" containsBlank="1" containsNumber="1" containsInteger="1" minValue="0" maxValue="0"/>
    </cacheField>
    <cacheField name="distance" numFmtId="0">
      <sharedItems containsString="0" containsBlank="1" containsNumber="1" minValue="26.020000457763672" maxValue="1132.300048828125"/>
    </cacheField>
    <cacheField name="cancelled_order_payout" numFmtId="0">
      <sharedItems containsString="0" containsBlank="1" containsNumber="1" containsInteger="1" minValue="0" maxValue="210"/>
    </cacheField>
    <cacheField name="pickup_order_payout" numFmtId="0">
      <sharedItems containsString="0" containsBlank="1" containsNumber="1" containsInteger="1" minValue="0" maxValue="30"/>
    </cacheField>
    <cacheField name="order_base_payout" numFmtId="0">
      <sharedItems containsString="0" containsBlank="1" containsNumber="1" containsInteger="1" minValue="135" maxValue="5460"/>
    </cacheField>
    <cacheField name="surge_payout" numFmtId="0">
      <sharedItems containsString="0" containsBlank="1" containsNumber="1" containsInteger="1" minValue="0" maxValue="65"/>
    </cacheField>
    <cacheField name="peak_hour_payout" numFmtId="0">
      <sharedItems containsString="0" containsBlank="1" containsNumber="1" containsInteger="1" minValue="0" maxValue="3640"/>
    </cacheField>
    <cacheField name="order_distance_payout" numFmtId="0">
      <sharedItems containsString="0" containsBlank="1" containsNumber="1" minValue="0" maxValue="1311.3399658203125"/>
    </cacheField>
    <cacheField name="daily_order_payout" numFmtId="0">
      <sharedItems containsString="0" containsBlank="1" containsNumber="1" containsInteger="1" minValue="0" maxValue="3077"/>
    </cacheField>
    <cacheField name="weekly_order_payout" numFmtId="0">
      <sharedItems containsString="0" containsBlank="1" containsNumber="1" containsInteger="1" minValue="0" maxValue="0"/>
    </cacheField>
    <cacheField name="monthly_order_payout" numFmtId="0">
      <sharedItems containsString="0" containsBlank="1" containsNumber="1" containsInteger="1" minValue="0" maxValue="0"/>
    </cacheField>
    <cacheField name="weight_payout" numFmtId="0">
      <sharedItems containsString="0" containsBlank="1" containsNumber="1" containsInteger="1" minValue="0" maxValue="30"/>
    </cacheField>
    <cacheField name="day_payout" numFmtId="0">
      <sharedItems containsString="0" containsBlank="1" containsNumber="1" containsInteger="1" minValue="0" maxValue="198"/>
    </cacheField>
    <cacheField name="joining_bonus" numFmtId="0">
      <sharedItems containsString="0" containsBlank="1" containsNumber="1" containsInteger="1" minValue="0" maxValue="0"/>
    </cacheField>
    <cacheField name="weekly_attendance_payout" numFmtId="0">
      <sharedItems containsString="0" containsBlank="1" containsNumber="1" containsInteger="1" minValue="0" maxValue="500"/>
    </cacheField>
    <cacheField name="monthly_attendance_payout" numFmtId="0">
      <sharedItems containsString="0" containsBlank="1" containsNumber="1" containsInteger="1" minValue="0" maxValue="0"/>
    </cacheField>
    <cacheField name="service_time" numFmtId="0">
      <sharedItems containsString="0" containsBlank="1" containsNumber="1" minValue="2.7560555934906006" maxValue="63"/>
    </cacheField>
    <cacheField name="minimum_guarantee" numFmtId="0">
      <sharedItems containsString="0" containsBlank="1" containsNumber="1" containsInteger="1" minValue="0" maxValue="0"/>
    </cacheField>
    <cacheField name="mg_eligible_days" numFmtId="0">
      <sharedItems containsString="0" containsBlank="1" containsNumber="1" containsInteger="1" minValue="0" maxValue="0"/>
    </cacheField>
    <cacheField name="arrears_amount" numFmtId="0">
      <sharedItems containsString="0" containsBlank="1" containsNumber="1" containsInteger="1" minValue="0" maxValue="450"/>
    </cacheField>
    <cacheField name="arrears_reason" numFmtId="0">
      <sharedItems containsBlank="1"/>
    </cacheField>
    <cacheField name="deductions_amount" numFmtId="0">
      <sharedItems containsString="0" containsBlank="1" containsNumber="1" minValue="0" maxValue="500"/>
    </cacheField>
    <cacheField name="deductions_reason" numFmtId="0">
      <sharedItems containsBlank="1"/>
    </cacheField>
    <cacheField name="base_pay" numFmtId="0">
      <sharedItems containsString="0" containsBlank="1" containsNumber="1" minValue="135" maxValue="13437.6796875"/>
    </cacheField>
    <cacheField name="incentive_total" numFmtId="0">
      <sharedItems containsString="0" containsBlank="1" containsNumber="1" minValue="0" maxValue="7977.68017578125"/>
    </cacheField>
    <cacheField name="total_without_arrears" numFmtId="0">
      <sharedItems containsString="0" containsBlank="1" containsNumber="1" minValue="135" maxValue="13437.6796875"/>
    </cacheField>
    <cacheField name="total_with_arrears" numFmtId="0">
      <sharedItems containsString="0" containsBlank="1" containsNumber="1" minValue="135" maxValue="13437.6796875"/>
    </cacheField>
    <cacheField name="total_with_arrears_and_deductions" numFmtId="0">
      <sharedItems containsString="0" containsBlank="1" containsNumber="1" minValue="135" maxValue="13387.6796875"/>
    </cacheField>
    <cacheField name="management_fee" numFmtId="0">
      <sharedItems containsString="0" containsBlank="1" containsNumber="1" minValue="10.8" maxValue="436.8"/>
    </cacheField>
    <cacheField name="total_with_management_fee" numFmtId="0">
      <sharedItems containsString="0" containsBlank="1" containsNumber="1" minValue="145.80000000000001" maxValue="13824.479687499999"/>
    </cacheField>
    <cacheField name="tds" numFmtId="0">
      <sharedItems containsString="0" containsBlank="1" containsNumber="1" containsInteger="1" minValue="0" maxValue="0"/>
    </cacheField>
    <cacheField name="gst" numFmtId="0">
      <sharedItems containsString="0" containsBlank="1" containsNumber="1" minValue="26.244" maxValue="2488.4063437499999"/>
    </cacheField>
    <cacheField name="final_with_gst" numFmtId="0">
      <sharedItems containsString="0" containsBlank="1" containsNumber="1" minValue="172.04400000000001" maxValue="16312.88603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n v="2025"/>
    <n v="5"/>
    <n v="3"/>
    <n v="735193"/>
    <s v="ELERIDEFIRSTDHAMMPAL AVHAD"/>
    <s v="TPL CEE"/>
    <s v="EV"/>
    <s v="PUNE"/>
    <x v="0"/>
    <s v="INTEGRATED"/>
    <s v="ELERIDE MOBILITY SOLUTIONS PVT LTD"/>
    <s v="SERVICE FEES"/>
    <s v="BIKE"/>
    <s v="INTEGRATED-IBBN-RC-008583-16"/>
    <s v="7 DAYS"/>
    <n v="24"/>
    <n v="0"/>
    <n v="0"/>
    <n v="24"/>
    <n v="0"/>
    <n v="24"/>
    <n v="2"/>
    <n v="0"/>
    <n v="91.050003051757813"/>
    <n v="0"/>
    <n v="0"/>
    <n v="648"/>
    <n v="10"/>
    <n v="90"/>
    <n v="0"/>
    <n v="208"/>
    <n v="0"/>
    <n v="0"/>
    <n v="0"/>
    <n v="0"/>
    <n v="0"/>
    <n v="0"/>
    <n v="0"/>
    <n v="10.52067756652832"/>
    <n v="0"/>
    <n v="0"/>
    <n v="0"/>
    <s v=""/>
    <n v="0"/>
    <s v=""/>
    <n v="956"/>
    <n v="308"/>
    <n v="956"/>
    <n v="956"/>
    <n v="956"/>
    <n v="51.84"/>
    <n v="1007.84"/>
    <n v="0"/>
    <n v="181.41120000000001"/>
    <n v="1189.2512000000002"/>
  </r>
  <r>
    <n v="2025"/>
    <n v="5"/>
    <n v="3"/>
    <n v="744645"/>
    <s v="ELERIDESUNILDATTATRAY0RAUT"/>
    <s v="TPL CEE"/>
    <s v="EV"/>
    <s v="PUNE"/>
    <x v="0"/>
    <s v="INTEGRATED"/>
    <s v="ELERIDE MOBILITY SOLUTIONS PVT LTD"/>
    <s v="SERVICE FEES"/>
    <s v="BIKE"/>
    <s v="INTEGRATED-IBBN-RC-008583-16"/>
    <s v="7 DAYS"/>
    <n v="70"/>
    <n v="1"/>
    <n v="0"/>
    <n v="54"/>
    <n v="16"/>
    <n v="70"/>
    <n v="6"/>
    <n v="0"/>
    <n v="330.1300048828125"/>
    <n v="27"/>
    <n v="0"/>
    <n v="1917"/>
    <n v="0"/>
    <n v="130"/>
    <n v="0"/>
    <n v="643"/>
    <n v="0"/>
    <n v="0"/>
    <n v="0"/>
    <n v="48"/>
    <n v="0"/>
    <n v="0"/>
    <n v="0"/>
    <n v="33.39825439453125"/>
    <n v="0"/>
    <n v="0"/>
    <n v="0"/>
    <s v=""/>
    <n v="0"/>
    <s v=""/>
    <n v="2738"/>
    <n v="821"/>
    <n v="2738"/>
    <n v="2738"/>
    <n v="2738"/>
    <n v="153.36000000000001"/>
    <n v="2891.36"/>
    <n v="0"/>
    <n v="520.44479999999999"/>
    <n v="3411.8047999999999"/>
  </r>
  <r>
    <n v="2025"/>
    <n v="5"/>
    <n v="3"/>
    <n v="746897"/>
    <s v="SAMADHANJUGADA ELERIDE"/>
    <s v="TPL CEE"/>
    <s v="NEV"/>
    <s v="PUNE"/>
    <x v="0"/>
    <s v="INTEGRATED"/>
    <s v="ELERIDE MOBILITY SOLUTIONS PVT LTD"/>
    <s v="SERVICE FEES"/>
    <s v="BIKE"/>
    <s v="INTEGRATED-IBBN-RC-008582-17"/>
    <s v="7 DAYS"/>
    <n v="64"/>
    <n v="0"/>
    <n v="0"/>
    <n v="47"/>
    <n v="17"/>
    <n v="64"/>
    <n v="6"/>
    <n v="0"/>
    <n v="309.54998779296875"/>
    <n v="0"/>
    <n v="0"/>
    <n v="1920"/>
    <n v="0"/>
    <n v="120"/>
    <n v="0"/>
    <n v="458"/>
    <n v="0"/>
    <n v="0"/>
    <n v="0"/>
    <n v="51"/>
    <n v="0"/>
    <n v="0"/>
    <n v="0"/>
    <n v="31.170766830444336"/>
    <n v="0"/>
    <n v="0"/>
    <n v="0"/>
    <s v=""/>
    <n v="0"/>
    <s v=""/>
    <n v="2549"/>
    <n v="629"/>
    <n v="2549"/>
    <n v="2549"/>
    <n v="2549"/>
    <n v="153.6"/>
    <n v="2702.6"/>
    <n v="0"/>
    <n v="486.46799999999996"/>
    <n v="3189.0679999999998"/>
  </r>
  <r>
    <n v="2025"/>
    <n v="5"/>
    <n v="3"/>
    <n v="753406"/>
    <s v="TAPASH KUMAR SAHAELERIDE"/>
    <s v="TPL CEE"/>
    <s v="EV"/>
    <s v="PUNE"/>
    <x v="0"/>
    <s v="INTEGRATED"/>
    <s v="ELERIDE MOBILITY SOLUTIONS PVT LTD"/>
    <s v="SERVICE FEES"/>
    <s v="BIKE"/>
    <s v="INTEGRATED-IBBN-RC-008583-16"/>
    <s v="7 DAYS"/>
    <n v="58"/>
    <n v="0"/>
    <n v="0"/>
    <n v="48"/>
    <n v="10"/>
    <n v="58"/>
    <n v="6"/>
    <n v="0"/>
    <n v="267.3900146484375"/>
    <n v="0"/>
    <n v="0"/>
    <n v="1566"/>
    <n v="60"/>
    <n v="170"/>
    <n v="0"/>
    <n v="439"/>
    <n v="0"/>
    <n v="0"/>
    <n v="0"/>
    <n v="30"/>
    <n v="0"/>
    <n v="0"/>
    <n v="0"/>
    <n v="23.9913330078125"/>
    <n v="0"/>
    <n v="0"/>
    <n v="0"/>
    <s v=""/>
    <n v="0"/>
    <s v=""/>
    <n v="2265"/>
    <n v="699"/>
    <n v="2265"/>
    <n v="2265"/>
    <n v="2265"/>
    <n v="125.28"/>
    <n v="2390.2800000000002"/>
    <n v="0"/>
    <n v="430.25040000000001"/>
    <n v="2820.5304000000001"/>
  </r>
  <r>
    <n v="2025"/>
    <n v="5"/>
    <n v="3"/>
    <n v="753657"/>
    <s v="SHUBHAM MADHUKAR SANGITRAOSANGITRAO ELERIDE"/>
    <s v="TPL CEE"/>
    <s v="NEV"/>
    <s v="PUNE"/>
    <x v="0"/>
    <s v="INTEGRATED"/>
    <s v="ELERIDE MOBILITY SOLUTIONS PVT LTD"/>
    <s v="SERVICE FEES"/>
    <s v="BIKE"/>
    <s v="INTEGRATED-IBBN-RC-008582-17"/>
    <s v="7 DAYS"/>
    <n v="49"/>
    <n v="0"/>
    <n v="0"/>
    <n v="38"/>
    <n v="11"/>
    <n v="49"/>
    <n v="3"/>
    <n v="0"/>
    <n v="241.61000061035156"/>
    <n v="0"/>
    <n v="0"/>
    <n v="1470"/>
    <n v="0"/>
    <n v="120"/>
    <n v="0"/>
    <n v="679"/>
    <n v="0"/>
    <n v="0"/>
    <n v="0"/>
    <n v="33"/>
    <n v="0"/>
    <n v="0"/>
    <n v="0"/>
    <n v="19.878122329711914"/>
    <n v="0"/>
    <n v="0"/>
    <n v="0"/>
    <s v=""/>
    <n v="500"/>
    <s v="IBND DEDUCTION"/>
    <n v="2302"/>
    <n v="832"/>
    <n v="2302"/>
    <n v="2302"/>
    <n v="1802"/>
    <n v="117.60000000000001"/>
    <n v="1919.6"/>
    <n v="0"/>
    <n v="345.52799999999996"/>
    <n v="2265.1279999999997"/>
  </r>
  <r>
    <n v="2025"/>
    <n v="5"/>
    <n v="3"/>
    <n v="754583"/>
    <s v="DATTA JADHAVELRD BREAK"/>
    <s v="TPL CEE"/>
    <s v="EV"/>
    <s v="PUNE"/>
    <x v="0"/>
    <s v="INTEGRATED"/>
    <s v="ELERIDE MOBILITY SOLUTIONS PVT LTD"/>
    <s v="SERVICE FEES"/>
    <s v="BIKE"/>
    <s v="INTEGRATED-IBBN-RC-008583-16"/>
    <s v="7 DAYS"/>
    <n v="5"/>
    <n v="0"/>
    <n v="0"/>
    <n v="5"/>
    <n v="0"/>
    <n v="5"/>
    <n v="1"/>
    <n v="0"/>
    <n v="29.139999389648437"/>
    <n v="0"/>
    <n v="0"/>
    <n v="135"/>
    <n v="0"/>
    <n v="0"/>
    <n v="0"/>
    <n v="0"/>
    <n v="0"/>
    <n v="0"/>
    <n v="0"/>
    <n v="0"/>
    <n v="0"/>
    <n v="0"/>
    <n v="0"/>
    <n v="2.7560555934906006"/>
    <n v="0"/>
    <n v="0"/>
    <n v="0"/>
    <s v=""/>
    <n v="0"/>
    <s v=""/>
    <n v="135"/>
    <n v="0"/>
    <n v="135"/>
    <n v="135"/>
    <n v="135"/>
    <n v="10.8"/>
    <n v="145.80000000000001"/>
    <n v="0"/>
    <n v="26.244"/>
    <n v="172.04400000000001"/>
  </r>
  <r>
    <n v="2025"/>
    <n v="5"/>
    <n v="3"/>
    <n v="754742"/>
    <s v="SAMIR PATELELERD"/>
    <s v="TPL CEE"/>
    <s v="EV"/>
    <s v="PUNE"/>
    <x v="0"/>
    <s v="INTEGRATED"/>
    <s v="ELERIDE MOBILITY SOLUTIONS PVT LTD"/>
    <s v="SERVICE FEES"/>
    <s v="BIKE"/>
    <s v="INTEGRATED-IBBN-RC-008583-16"/>
    <s v="7 DAYS"/>
    <n v="26"/>
    <n v="0"/>
    <n v="0"/>
    <n v="0"/>
    <n v="26"/>
    <n v="26"/>
    <n v="2"/>
    <n v="0"/>
    <n v="117.36000061035156"/>
    <n v="0"/>
    <n v="0"/>
    <n v="702"/>
    <n v="0"/>
    <n v="30"/>
    <n v="0"/>
    <n v="208"/>
    <n v="0"/>
    <n v="0"/>
    <n v="0"/>
    <n v="78"/>
    <n v="0"/>
    <n v="0"/>
    <n v="0"/>
    <n v="11.697667121887207"/>
    <n v="0"/>
    <n v="0"/>
    <n v="0"/>
    <s v=""/>
    <n v="0"/>
    <s v=""/>
    <n v="1018"/>
    <n v="316"/>
    <n v="1018"/>
    <n v="1018"/>
    <n v="1018"/>
    <n v="56.160000000000004"/>
    <n v="1074.1600000000001"/>
    <n v="0"/>
    <n v="193.34880000000001"/>
    <n v="1267.5088000000001"/>
  </r>
  <r>
    <n v="2025"/>
    <n v="5"/>
    <n v="3"/>
    <n v="755539"/>
    <s v="MUKESH BRAMHARAJELERIDE"/>
    <s v="TPL CEE"/>
    <s v="EV"/>
    <s v="PUNE"/>
    <x v="0"/>
    <s v="INTEGRATED"/>
    <s v="ELERIDE MOBILITY SOLUTIONS PVT LTD"/>
    <s v="SERVICE FEES"/>
    <s v="BIKE"/>
    <s v="INTEGRATED-IBBN-RC-008583-16"/>
    <s v="7 DAYS"/>
    <n v="7"/>
    <n v="0"/>
    <n v="0"/>
    <n v="0"/>
    <n v="7"/>
    <n v="7"/>
    <n v="1"/>
    <n v="0"/>
    <n v="32.779998779296875"/>
    <n v="0"/>
    <n v="0"/>
    <n v="189"/>
    <n v="0"/>
    <n v="30"/>
    <n v="0"/>
    <n v="0"/>
    <n v="0"/>
    <n v="0"/>
    <n v="0"/>
    <n v="21"/>
    <n v="0"/>
    <n v="0"/>
    <n v="0"/>
    <n v="3.88753342628479"/>
    <n v="0"/>
    <n v="0"/>
    <n v="0"/>
    <s v=""/>
    <n v="0"/>
    <s v=""/>
    <n v="240"/>
    <n v="51"/>
    <n v="240"/>
    <n v="240"/>
    <n v="240"/>
    <n v="15.120000000000001"/>
    <n v="255.12"/>
    <n v="0"/>
    <n v="45.921599999999998"/>
    <n v="301.04160000000002"/>
  </r>
  <r>
    <n v="2025"/>
    <n v="5"/>
    <n v="3"/>
    <n v="784832"/>
    <s v="MANJURULLAHKHAN ELERIDE"/>
    <s v="TPL CEE"/>
    <s v="NEV"/>
    <s v="PUNE"/>
    <x v="0"/>
    <s v="INTEGRATED"/>
    <s v="ELERIDE MOBILITY SOLUTIONS PVT LTD"/>
    <s v="SERVICE FEES"/>
    <s v="BIKE"/>
    <s v="INTEGRATED-IBBN-RC-008582-17"/>
    <s v="7 DAYS"/>
    <n v="140"/>
    <n v="7"/>
    <n v="0"/>
    <n v="98"/>
    <n v="42"/>
    <n v="140"/>
    <n v="7"/>
    <n v="0"/>
    <n v="646.91998291015625"/>
    <n v="210"/>
    <n v="0"/>
    <n v="4410"/>
    <n v="35"/>
    <n v="620"/>
    <n v="0"/>
    <n v="1982"/>
    <n v="0"/>
    <n v="0"/>
    <n v="0"/>
    <n v="126"/>
    <n v="0"/>
    <n v="250"/>
    <n v="0"/>
    <n v="60.507099151611328"/>
    <n v="0"/>
    <n v="0"/>
    <n v="0"/>
    <s v=""/>
    <n v="96.5"/>
    <s v="IBND DEDUCTION, IBND DEDUCTION, IBND DEDUCTION, IBND DEDUCTION"/>
    <n v="7423"/>
    <n v="3013"/>
    <n v="7423"/>
    <n v="7423"/>
    <n v="7326.5"/>
    <n v="352.8"/>
    <n v="7679.3"/>
    <n v="0"/>
    <n v="1382.2739999999999"/>
    <n v="9061.5740000000005"/>
  </r>
  <r>
    <n v="2025"/>
    <n v="5"/>
    <n v="3"/>
    <n v="791546"/>
    <s v="ADITYAPISE"/>
    <s v="TPL CEE"/>
    <s v="EV"/>
    <s v="PUNE"/>
    <x v="0"/>
    <s v="INTEGRATED"/>
    <s v="ELERIDE MOBILITY SOLUTIONS PVT LTD"/>
    <s v="SERVICE FEES"/>
    <s v="BIKE"/>
    <s v="INTEGRATED-IBBN-RC-008583-16"/>
    <s v="7 DAYS"/>
    <n v="7"/>
    <n v="0"/>
    <n v="0"/>
    <n v="7"/>
    <n v="0"/>
    <n v="7"/>
    <n v="1"/>
    <n v="0"/>
    <n v="33.919998168945313"/>
    <n v="0"/>
    <n v="0"/>
    <n v="189"/>
    <n v="0"/>
    <n v="0"/>
    <n v="0"/>
    <n v="0"/>
    <n v="0"/>
    <n v="0"/>
    <n v="0"/>
    <n v="0"/>
    <n v="0"/>
    <n v="0"/>
    <n v="0"/>
    <n v="3.874333381652832"/>
    <n v="0"/>
    <n v="0"/>
    <n v="0"/>
    <s v=""/>
    <n v="0"/>
    <s v=""/>
    <n v="189"/>
    <n v="0"/>
    <n v="189"/>
    <n v="189"/>
    <n v="189"/>
    <n v="15.120000000000001"/>
    <n v="204.12"/>
    <n v="0"/>
    <n v="36.741599999999998"/>
    <n v="240.86160000000001"/>
  </r>
  <r>
    <n v="2025"/>
    <n v="5"/>
    <n v="3"/>
    <n v="738700"/>
    <s v="ELERIDEAMAN JADHAV"/>
    <s v="TPL CEE"/>
    <s v="NEV"/>
    <s v="PUNE"/>
    <x v="1"/>
    <s v="INTEGRATED"/>
    <s v="ELERIDE MOBILITY SOLUTIONS PVT LTD"/>
    <s v="SERVICE FEES"/>
    <s v="BIKE"/>
    <s v="INTEGRATED-IBBN-RC-009659-8"/>
    <s v="7 DAYS"/>
    <n v="149"/>
    <n v="1"/>
    <n v="0"/>
    <n v="84"/>
    <n v="65"/>
    <n v="149"/>
    <n v="6"/>
    <n v="0"/>
    <n v="712.5"/>
    <n v="30"/>
    <n v="0"/>
    <n v="4500"/>
    <n v="0"/>
    <n v="300"/>
    <n v="0"/>
    <n v="2370"/>
    <n v="0"/>
    <n v="0"/>
    <n v="0"/>
    <n v="198"/>
    <n v="0"/>
    <n v="250"/>
    <n v="0"/>
    <n v="43.791557312011719"/>
    <n v="0"/>
    <n v="0"/>
    <n v="0"/>
    <s v=""/>
    <n v="0"/>
    <s v=""/>
    <n v="7618"/>
    <n v="3118"/>
    <n v="7618"/>
    <n v="7618"/>
    <n v="7618"/>
    <n v="360"/>
    <n v="7978"/>
    <n v="0"/>
    <n v="1436.04"/>
    <n v="9414.0400000000009"/>
  </r>
  <r>
    <n v="2025"/>
    <n v="5"/>
    <n v="3"/>
    <n v="739946"/>
    <s v="PRANAVMAHESH JADHAVJADHAV ELERIDE"/>
    <s v="TPL CEE"/>
    <s v="EV"/>
    <s v="PUNE"/>
    <x v="1"/>
    <s v="INTEGRATED"/>
    <s v="ELERIDE MOBILITY SOLUTIONS PVT LTD"/>
    <s v="SERVICE FEES"/>
    <s v="BIKE"/>
    <s v="INTEGRATED-IBBN-RC-009658-9"/>
    <s v="7 DAYS"/>
    <n v="5"/>
    <n v="1"/>
    <n v="0"/>
    <n v="5"/>
    <n v="0"/>
    <n v="5"/>
    <n v="3"/>
    <n v="0"/>
    <n v="26.020000457763672"/>
    <n v="27"/>
    <n v="0"/>
    <n v="162"/>
    <n v="0"/>
    <n v="5"/>
    <n v="0"/>
    <n v="0"/>
    <n v="0"/>
    <n v="0"/>
    <n v="0"/>
    <n v="3"/>
    <n v="0"/>
    <n v="0"/>
    <n v="0"/>
    <n v="3.2880556583404541"/>
    <n v="0"/>
    <n v="0"/>
    <n v="0"/>
    <s v=""/>
    <n v="0"/>
    <s v=""/>
    <n v="170"/>
    <n v="8"/>
    <n v="170"/>
    <n v="170"/>
    <n v="170"/>
    <n v="12.96"/>
    <n v="182.96"/>
    <n v="0"/>
    <n v="32.9328"/>
    <n v="215.89280000000002"/>
  </r>
  <r>
    <n v="2025"/>
    <n v="5"/>
    <n v="3"/>
    <n v="741275"/>
    <s v="NIKHIL RAJU GUPTELERIDE BREAK"/>
    <s v="TPL CEE"/>
    <s v="NEV"/>
    <s v="PUNE"/>
    <x v="2"/>
    <s v="INTEGRATED"/>
    <s v="ELERIDE MOBILITY SOLUTIONS PVT LTD"/>
    <s v="SERVICE FEES"/>
    <s v="BIKE"/>
    <s v="INTEGRATED-IBBN-RC-009931-13"/>
    <s v="7 DAYS"/>
    <n v="180"/>
    <n v="1"/>
    <n v="1"/>
    <n v="125"/>
    <n v="55"/>
    <n v="181"/>
    <n v="7"/>
    <n v="0"/>
    <n v="965.07000732421875"/>
    <n v="30"/>
    <n v="30"/>
    <n v="5460"/>
    <n v="15"/>
    <n v="3640"/>
    <n v="577.67999267578125"/>
    <n v="3077"/>
    <n v="0"/>
    <n v="0"/>
    <n v="0"/>
    <n v="168"/>
    <n v="0"/>
    <n v="500"/>
    <n v="0"/>
    <n v="63"/>
    <n v="0"/>
    <n v="0"/>
    <n v="0"/>
    <s v=""/>
    <n v="50"/>
    <s v="IBND DEDUCTION"/>
    <n v="13437.6796875"/>
    <n v="7977.68017578125"/>
    <n v="13437.6796875"/>
    <n v="13437.6796875"/>
    <n v="13387.6796875"/>
    <n v="436.8"/>
    <n v="13824.479687499999"/>
    <n v="0"/>
    <n v="2488.4063437499999"/>
    <n v="16312.88603125"/>
  </r>
  <r>
    <n v="2025"/>
    <n v="5"/>
    <n v="3"/>
    <n v="784299"/>
    <s v="IMRANSHAIKH"/>
    <s v="TPL CEE"/>
    <s v="NEV"/>
    <s v="PUNE"/>
    <x v="3"/>
    <s v="INTEGRATED"/>
    <s v="ELERIDE MOBILITY SOLUTIONS PVT LTD"/>
    <s v="SERVICE FEES"/>
    <s v="BIKE"/>
    <s v="INTEGRATED-IBBN-RC-009932-13"/>
    <s v="7 DAYS"/>
    <n v="121"/>
    <n v="2"/>
    <n v="0"/>
    <n v="94"/>
    <n v="27"/>
    <n v="121"/>
    <n v="5"/>
    <n v="0"/>
    <n v="586.3499755859375"/>
    <n v="60"/>
    <n v="0"/>
    <n v="3690"/>
    <n v="30"/>
    <n v="0"/>
    <n v="0"/>
    <n v="2009"/>
    <n v="0"/>
    <n v="0"/>
    <n v="0"/>
    <n v="84"/>
    <n v="0"/>
    <n v="0"/>
    <n v="0"/>
    <n v="44.600357055664062"/>
    <n v="0"/>
    <n v="0"/>
    <n v="450"/>
    <s v="EXCEPTION - WEEKLY INCENTIVES"/>
    <n v="50"/>
    <s v="IBND DEDUCTION"/>
    <n v="5813"/>
    <n v="2123"/>
    <n v="5813"/>
    <n v="6263"/>
    <n v="6213"/>
    <n v="295.2"/>
    <n v="6508.2"/>
    <n v="0"/>
    <n v="1171.4759999999999"/>
    <n v="7679.6759999999995"/>
  </r>
  <r>
    <n v="2025"/>
    <n v="5"/>
    <n v="3"/>
    <n v="787959"/>
    <s v="VEDANTPANCHAL"/>
    <s v="TPL CEE"/>
    <s v="NEV"/>
    <s v="PUNE"/>
    <x v="3"/>
    <s v="INTEGRATED"/>
    <s v="ELERIDE MOBILITY SOLUTIONS PVT LTD"/>
    <s v="SERVICE FEES"/>
    <s v="BIKE"/>
    <s v="INTEGRATED-IBBN-RC-009932-13"/>
    <s v="7 DAYS"/>
    <n v="31"/>
    <n v="0"/>
    <n v="0"/>
    <n v="17"/>
    <n v="14"/>
    <n v="31"/>
    <n v="4"/>
    <n v="0"/>
    <n v="162.78999328613281"/>
    <n v="0"/>
    <n v="0"/>
    <n v="930"/>
    <n v="0"/>
    <n v="0"/>
    <n v="0"/>
    <n v="120"/>
    <n v="0"/>
    <n v="0"/>
    <n v="0"/>
    <n v="42"/>
    <n v="0"/>
    <n v="0"/>
    <n v="0"/>
    <n v="15.898721694946289"/>
    <n v="0"/>
    <n v="0"/>
    <n v="0"/>
    <s v=""/>
    <n v="0"/>
    <s v=""/>
    <n v="1092"/>
    <n v="162"/>
    <n v="1092"/>
    <n v="1092"/>
    <n v="1092"/>
    <n v="74.400000000000006"/>
    <n v="1166.4000000000001"/>
    <n v="0"/>
    <n v="209.952"/>
    <n v="1376.3520000000001"/>
  </r>
  <r>
    <n v="2025"/>
    <n v="5"/>
    <n v="3"/>
    <n v="754658"/>
    <s v="LATIF SHAIKHELRD BREAK"/>
    <s v="TPL CEE"/>
    <s v="EV"/>
    <s v="PUNE"/>
    <x v="4"/>
    <s v="INTEGRATED"/>
    <s v="ELERIDE MOBILITY SOLUTIONS PVT LTD"/>
    <s v="SERVICE FEES"/>
    <s v="BIKE"/>
    <s v="INTEGRATED-IBBN-RC-011702-4"/>
    <s v="7 DAYS"/>
    <n v="36"/>
    <n v="1"/>
    <n v="0"/>
    <n v="36"/>
    <n v="0"/>
    <n v="36"/>
    <n v="2"/>
    <n v="0"/>
    <n v="137.8699951171875"/>
    <n v="27"/>
    <n v="0"/>
    <n v="999"/>
    <n v="0"/>
    <n v="0"/>
    <n v="0"/>
    <n v="432"/>
    <n v="0"/>
    <n v="0"/>
    <n v="0"/>
    <n v="0"/>
    <n v="0"/>
    <n v="0"/>
    <n v="0"/>
    <n v="14.77821159362793"/>
    <n v="0"/>
    <n v="0"/>
    <n v="0"/>
    <s v=""/>
    <n v="0"/>
    <s v=""/>
    <n v="1431"/>
    <n v="432"/>
    <n v="1431"/>
    <n v="1431"/>
    <n v="1431"/>
    <n v="79.92"/>
    <n v="1510.92"/>
    <n v="0"/>
    <n v="271.96559999999999"/>
    <n v="1782.8856000000001"/>
  </r>
  <r>
    <n v="2025"/>
    <n v="5"/>
    <n v="3"/>
    <n v="757911"/>
    <s v="ROHAN SUDHKAR CHAVANELRD  BREAK"/>
    <s v="TPL CEE"/>
    <s v="EV"/>
    <s v="PUNE"/>
    <x v="4"/>
    <s v="INTEGRATED"/>
    <s v="ELERIDE MOBILITY SOLUTIONS PVT LTD"/>
    <s v="SERVICE FEES"/>
    <s v="BIKE"/>
    <s v="INTEGRATED-IBBN-RC-011702-4"/>
    <s v="7 DAYS"/>
    <n v="51"/>
    <n v="1"/>
    <n v="0"/>
    <n v="51"/>
    <n v="0"/>
    <n v="51"/>
    <n v="2"/>
    <n v="0"/>
    <n v="177.22000122070312"/>
    <n v="27"/>
    <n v="0"/>
    <n v="1404"/>
    <n v="65"/>
    <n v="0"/>
    <n v="0"/>
    <n v="798"/>
    <n v="0"/>
    <n v="0"/>
    <n v="0"/>
    <n v="0"/>
    <n v="0"/>
    <n v="0"/>
    <n v="0"/>
    <n v="16.711555480957031"/>
    <n v="0"/>
    <n v="0"/>
    <n v="0"/>
    <s v=""/>
    <n v="0"/>
    <s v=""/>
    <n v="2267"/>
    <n v="863"/>
    <n v="2267"/>
    <n v="2267"/>
    <n v="2267"/>
    <n v="112.32000000000001"/>
    <n v="2379.3200000000002"/>
    <n v="0"/>
    <n v="428.27760000000001"/>
    <n v="2807.5976000000001"/>
  </r>
  <r>
    <n v="2025"/>
    <n v="5"/>
    <n v="3"/>
    <n v="763173"/>
    <s v="ADESH KUMAR RAWATELERIDE"/>
    <s v="TPL CEE"/>
    <s v="EV"/>
    <s v="PUNE"/>
    <x v="4"/>
    <s v="INTEGRATED"/>
    <s v="ELERIDE MOBILITY SOLUTIONS PVT LTD"/>
    <s v="SERVICE FEES"/>
    <s v="BIKE"/>
    <s v="INTEGRATED-IBBN-RC-011702-4"/>
    <s v="7 DAYS"/>
    <n v="47"/>
    <n v="2"/>
    <n v="0"/>
    <n v="42"/>
    <n v="5"/>
    <n v="47"/>
    <n v="5"/>
    <n v="0"/>
    <n v="139.58999633789063"/>
    <n v="54"/>
    <n v="0"/>
    <n v="1323"/>
    <n v="55"/>
    <n v="0"/>
    <n v="0"/>
    <n v="195"/>
    <n v="0"/>
    <n v="0"/>
    <n v="0"/>
    <n v="18"/>
    <n v="0"/>
    <n v="0"/>
    <n v="0"/>
    <n v="16.92277717590332"/>
    <n v="0"/>
    <n v="0"/>
    <n v="0"/>
    <s v=""/>
    <n v="0"/>
    <s v=""/>
    <n v="1591"/>
    <n v="268"/>
    <n v="1591"/>
    <n v="1591"/>
    <n v="1591"/>
    <n v="105.84"/>
    <n v="1696.84"/>
    <n v="0"/>
    <n v="305.43119999999999"/>
    <n v="2002.2711999999999"/>
  </r>
  <r>
    <n v="2025"/>
    <n v="5"/>
    <n v="3"/>
    <n v="780996"/>
    <s v="GAURAOJAISWAL"/>
    <s v="TPL CEE"/>
    <s v="EV"/>
    <s v="PUNE"/>
    <x v="5"/>
    <s v="INTEGRATED"/>
    <s v="ELERIDE MOBILITY SOLUTIONS PVT LTD"/>
    <s v="SERVICE FEES"/>
    <s v="BIKE"/>
    <s v="INTEGRATED-IBBN-RC-013235-5"/>
    <s v="7 DAYS"/>
    <n v="10"/>
    <n v="0"/>
    <n v="0"/>
    <n v="9"/>
    <n v="1"/>
    <n v="10"/>
    <n v="3"/>
    <n v="0"/>
    <n v="94.120002746582031"/>
    <n v="0"/>
    <n v="0"/>
    <n v="270"/>
    <n v="5"/>
    <n v="25"/>
    <n v="148.6199951171875"/>
    <n v="0"/>
    <n v="0"/>
    <n v="0"/>
    <n v="0"/>
    <n v="3"/>
    <n v="0"/>
    <n v="0"/>
    <n v="0"/>
    <n v="6.5561108589172363"/>
    <n v="0"/>
    <n v="0"/>
    <n v="0"/>
    <s v=""/>
    <n v="20"/>
    <s v="EV CHARGING DEDUCTION"/>
    <n v="451.6199951171875"/>
    <n v="181.6199951171875"/>
    <n v="451.6199951171875"/>
    <n v="451.6199951171875"/>
    <n v="431.6199951171875"/>
    <n v="21.6"/>
    <n v="453.21999511718752"/>
    <n v="0"/>
    <n v="81.57959912109375"/>
    <n v="534.79959423828132"/>
  </r>
  <r>
    <n v="2025"/>
    <n v="5"/>
    <n v="3"/>
    <n v="789253"/>
    <s v="IRFANSHAIKH"/>
    <s v="TPL CEE"/>
    <s v="EV"/>
    <s v="PUNE"/>
    <x v="6"/>
    <s v="INTEGRATED"/>
    <s v="ELERIDE MOBILITY SOLUTIONS PVT LTD"/>
    <s v="SERVICE FEES"/>
    <s v="BIKE"/>
    <s v="INTEGRATED-IBBN-RC-009004-20"/>
    <s v="7 DAYS"/>
    <n v="14"/>
    <n v="0"/>
    <n v="0"/>
    <n v="0"/>
    <n v="14"/>
    <n v="14"/>
    <n v="1"/>
    <n v="0"/>
    <n v="129.50999450683594"/>
    <n v="0"/>
    <n v="0"/>
    <n v="378"/>
    <n v="0"/>
    <n v="15"/>
    <n v="341.70001220703125"/>
    <n v="70"/>
    <n v="0"/>
    <n v="0"/>
    <n v="0"/>
    <n v="42"/>
    <n v="0"/>
    <n v="0"/>
    <n v="0"/>
    <n v="7.9483332633972168"/>
    <n v="0"/>
    <n v="0"/>
    <n v="0"/>
    <s v=""/>
    <n v="0"/>
    <s v=""/>
    <n v="846.70001220703125"/>
    <n v="468.70001220703125"/>
    <n v="846.70001220703125"/>
    <n v="846.70001220703125"/>
    <n v="846.70001220703125"/>
    <n v="30.240000000000002"/>
    <n v="876.94001220703126"/>
    <n v="0"/>
    <n v="157.84920219726561"/>
    <n v="1034.7892144042969"/>
  </r>
  <r>
    <n v="2025"/>
    <n v="5"/>
    <n v="3"/>
    <n v="756144"/>
    <s v="SACHIN NAYASE7350987782"/>
    <s v="TPL CEE"/>
    <s v="NEV"/>
    <s v="PUNE"/>
    <x v="7"/>
    <s v="INTEGRATED"/>
    <s v="ELERIDE MOBILITY SOLUTIONS PVT LTD"/>
    <s v="SERVICE FEES"/>
    <s v="BIKE"/>
    <s v="INTEGRATED-IBBN-RC-009587-12"/>
    <s v="7 DAYS"/>
    <n v="98"/>
    <n v="2"/>
    <n v="0"/>
    <n v="61"/>
    <n v="37"/>
    <n v="98"/>
    <n v="6"/>
    <n v="0"/>
    <n v="652.75"/>
    <n v="60"/>
    <n v="0"/>
    <n v="3000"/>
    <n v="10"/>
    <n v="0"/>
    <n v="728.719970703125"/>
    <n v="1096"/>
    <n v="0"/>
    <n v="0"/>
    <n v="30"/>
    <n v="114"/>
    <n v="0"/>
    <n v="0"/>
    <n v="0"/>
    <n v="46.302055358886719"/>
    <n v="0"/>
    <n v="0"/>
    <n v="0"/>
    <s v=""/>
    <n v="0"/>
    <s v=""/>
    <n v="4978.72021484375"/>
    <n v="1978.719970703125"/>
    <n v="4978.72021484375"/>
    <n v="4978.72021484375"/>
    <n v="4978.72021484375"/>
    <n v="240"/>
    <n v="5218.72021484375"/>
    <n v="0"/>
    <n v="939.36963867187501"/>
    <n v="6158.0898535156248"/>
  </r>
  <r>
    <n v="2025"/>
    <n v="5"/>
    <n v="3"/>
    <n v="786490"/>
    <s v="SANTOSH NAYASE7517557492"/>
    <s v="TPL CEE"/>
    <s v="LSV"/>
    <s v="PUNE"/>
    <x v="7"/>
    <s v="INTEGRATED"/>
    <s v="ELERIDE MOBILITY SOLUTIONS PVT LTD"/>
    <s v="SERVICE FEES"/>
    <s v="BIKE"/>
    <s v="INTEGRATED-IBBN-RC-009586-11"/>
    <s v="7 DAYS"/>
    <n v="170"/>
    <n v="3"/>
    <n v="0"/>
    <n v="127"/>
    <n v="43"/>
    <n v="170"/>
    <n v="7"/>
    <n v="0"/>
    <n v="1132.300048828125"/>
    <n v="81"/>
    <n v="0"/>
    <n v="4671"/>
    <n v="40"/>
    <n v="140"/>
    <n v="1311.3399658203125"/>
    <n v="2355"/>
    <n v="0"/>
    <n v="0"/>
    <n v="0"/>
    <n v="132"/>
    <n v="0"/>
    <n v="500"/>
    <n v="0"/>
    <n v="63"/>
    <n v="0"/>
    <n v="0"/>
    <n v="0"/>
    <s v=""/>
    <n v="0"/>
    <s v=""/>
    <n v="9149.33984375"/>
    <n v="4478.33984375"/>
    <n v="9149.33984375"/>
    <n v="9149.33984375"/>
    <n v="9149.33984375"/>
    <n v="373.68"/>
    <n v="9523.0198437500003"/>
    <n v="0"/>
    <n v="1714.1435718749999"/>
    <n v="11237.163415625"/>
  </r>
  <r>
    <m/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3" firstHeaderRow="0" firstDataRow="1" firstDataCol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5" baseField="8" baseItem="0"/>
    <dataField name="Sum of total_with_arrears_and_deductions" fld="49" baseField="8" baseItem="0"/>
    <dataField name="Sum of management_fee" fld="50" baseField="8" baseItem="0"/>
    <dataField name="Sum of total_with_management_fee" fld="51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7"/>
  <sheetViews>
    <sheetView topLeftCell="B6" workbookViewId="0">
      <selection activeCell="D18" sqref="D18:E25"/>
    </sheetView>
  </sheetViews>
  <sheetFormatPr defaultRowHeight="14.25"/>
  <cols>
    <col min="1" max="1" width="27" bestFit="1" customWidth="1"/>
    <col min="2" max="2" width="23.25" customWidth="1"/>
    <col min="3" max="3" width="39.375" customWidth="1"/>
    <col min="4" max="4" width="23" customWidth="1"/>
    <col min="5" max="5" width="32.75" customWidth="1"/>
  </cols>
  <sheetData>
    <row r="3" spans="1:5">
      <c r="A3" s="17" t="s">
        <v>180</v>
      </c>
      <c r="B3" t="s">
        <v>183</v>
      </c>
      <c r="C3" t="s">
        <v>184</v>
      </c>
      <c r="D3" t="s">
        <v>185</v>
      </c>
      <c r="E3" t="s">
        <v>186</v>
      </c>
    </row>
    <row r="4" spans="1:5">
      <c r="A4" s="18" t="s">
        <v>59</v>
      </c>
      <c r="B4" s="19">
        <v>450</v>
      </c>
      <c r="C4" s="19">
        <v>19218.5</v>
      </c>
      <c r="D4" s="19">
        <v>1051.6799999999998</v>
      </c>
      <c r="E4" s="19">
        <v>20270.18</v>
      </c>
    </row>
    <row r="5" spans="1:5">
      <c r="A5" s="18" t="s">
        <v>81</v>
      </c>
      <c r="B5" s="19">
        <v>154</v>
      </c>
      <c r="C5" s="19">
        <v>7788</v>
      </c>
      <c r="D5" s="19">
        <v>372.96</v>
      </c>
      <c r="E5" s="19">
        <v>8160.96</v>
      </c>
    </row>
    <row r="6" spans="1:5">
      <c r="A6" s="18" t="s">
        <v>86</v>
      </c>
      <c r="B6" s="19">
        <v>180</v>
      </c>
      <c r="C6" s="19">
        <v>13387.6796875</v>
      </c>
      <c r="D6" s="19">
        <v>436.8</v>
      </c>
      <c r="E6" s="19">
        <v>13824.479687499999</v>
      </c>
    </row>
    <row r="7" spans="1:5">
      <c r="A7" s="18" t="s">
        <v>89</v>
      </c>
      <c r="B7" s="19">
        <v>152</v>
      </c>
      <c r="C7" s="19">
        <v>7305</v>
      </c>
      <c r="D7" s="19">
        <v>369.6</v>
      </c>
      <c r="E7" s="19">
        <v>7674.6</v>
      </c>
    </row>
    <row r="8" spans="1:5">
      <c r="A8" s="18" t="s">
        <v>94</v>
      </c>
      <c r="B8" s="19">
        <v>134</v>
      </c>
      <c r="C8" s="19">
        <v>5289</v>
      </c>
      <c r="D8" s="19">
        <v>298.08000000000004</v>
      </c>
      <c r="E8" s="19">
        <v>5587.08</v>
      </c>
    </row>
    <row r="9" spans="1:5">
      <c r="A9" s="18" t="s">
        <v>99</v>
      </c>
      <c r="B9" s="19">
        <v>10</v>
      </c>
      <c r="C9" s="19">
        <v>431.6199951171875</v>
      </c>
      <c r="D9" s="19">
        <v>21.6</v>
      </c>
      <c r="E9" s="19">
        <v>453.21999511718752</v>
      </c>
    </row>
    <row r="10" spans="1:5">
      <c r="A10" s="18" t="s">
        <v>103</v>
      </c>
      <c r="B10" s="19">
        <v>14</v>
      </c>
      <c r="C10" s="19">
        <v>846.70001220703125</v>
      </c>
      <c r="D10" s="19">
        <v>30.240000000000002</v>
      </c>
      <c r="E10" s="19">
        <v>876.94001220703126</v>
      </c>
    </row>
    <row r="11" spans="1:5">
      <c r="A11" s="18" t="s">
        <v>106</v>
      </c>
      <c r="B11" s="19">
        <v>268</v>
      </c>
      <c r="C11" s="19">
        <v>14128.06005859375</v>
      </c>
      <c r="D11" s="19">
        <v>613.68000000000006</v>
      </c>
      <c r="E11" s="19">
        <v>14741.74005859375</v>
      </c>
    </row>
    <row r="12" spans="1:5">
      <c r="A12" s="18" t="s">
        <v>181</v>
      </c>
      <c r="B12" s="19"/>
      <c r="C12" s="19"/>
      <c r="D12" s="19"/>
      <c r="E12" s="19"/>
    </row>
    <row r="13" spans="1:5">
      <c r="A13" s="18" t="s">
        <v>182</v>
      </c>
      <c r="B13" s="19">
        <v>1362</v>
      </c>
      <c r="C13" s="19">
        <v>68394.559753417969</v>
      </c>
      <c r="D13" s="19">
        <v>3194.6399999999994</v>
      </c>
      <c r="E13" s="19">
        <v>71589.199753417968</v>
      </c>
    </row>
    <row r="17" spans="1:9">
      <c r="A17" t="s">
        <v>180</v>
      </c>
      <c r="B17" t="s">
        <v>183</v>
      </c>
      <c r="C17" t="s">
        <v>184</v>
      </c>
      <c r="D17" t="s">
        <v>185</v>
      </c>
      <c r="E17" t="s">
        <v>186</v>
      </c>
    </row>
    <row r="18" spans="1:9">
      <c r="A18" t="s">
        <v>59</v>
      </c>
      <c r="B18" s="20">
        <v>450</v>
      </c>
      <c r="C18" s="20">
        <v>19218.5</v>
      </c>
      <c r="D18" s="20">
        <v>1051.6799999999998</v>
      </c>
      <c r="E18" s="20">
        <v>20270.18</v>
      </c>
      <c r="G18" s="21">
        <v>19218.5</v>
      </c>
      <c r="H18" s="21"/>
      <c r="I18" s="21"/>
    </row>
    <row r="19" spans="1:9">
      <c r="A19" t="s">
        <v>81</v>
      </c>
      <c r="B19" s="20">
        <v>154</v>
      </c>
      <c r="C19" s="20">
        <v>7788</v>
      </c>
      <c r="D19" s="20">
        <v>372.96</v>
      </c>
      <c r="E19" s="20">
        <v>8160.96</v>
      </c>
      <c r="G19" s="21">
        <v>7788</v>
      </c>
      <c r="H19" s="21"/>
      <c r="I19" s="21"/>
    </row>
    <row r="20" spans="1:9">
      <c r="A20" t="s">
        <v>86</v>
      </c>
      <c r="B20" s="20">
        <v>180</v>
      </c>
      <c r="C20" s="20">
        <v>13387.6796875</v>
      </c>
      <c r="D20" s="20">
        <v>436.8</v>
      </c>
      <c r="E20" s="20">
        <v>13824.479687499999</v>
      </c>
      <c r="G20" s="21">
        <v>13387.6796875</v>
      </c>
      <c r="H20" s="21"/>
      <c r="I20" s="21"/>
    </row>
    <row r="21" spans="1:9">
      <c r="A21" t="s">
        <v>89</v>
      </c>
      <c r="B21" s="20">
        <v>152</v>
      </c>
      <c r="C21" s="20">
        <v>7305</v>
      </c>
      <c r="D21" s="20">
        <v>369.6</v>
      </c>
      <c r="E21" s="20">
        <v>7674.6</v>
      </c>
      <c r="G21" s="21">
        <v>7305</v>
      </c>
      <c r="H21" s="21"/>
      <c r="I21" s="21"/>
    </row>
    <row r="22" spans="1:9">
      <c r="A22" t="s">
        <v>94</v>
      </c>
      <c r="B22" s="20">
        <v>134</v>
      </c>
      <c r="C22" s="20">
        <v>5289</v>
      </c>
      <c r="D22" s="20">
        <v>298.08000000000004</v>
      </c>
      <c r="E22" s="20">
        <v>5587.08</v>
      </c>
      <c r="G22" s="21">
        <v>5289</v>
      </c>
      <c r="H22" s="21"/>
      <c r="I22" s="21"/>
    </row>
    <row r="23" spans="1:9">
      <c r="A23" t="s">
        <v>99</v>
      </c>
      <c r="B23" s="20">
        <v>10</v>
      </c>
      <c r="C23" s="20">
        <v>431.6199951171875</v>
      </c>
      <c r="D23" s="20">
        <v>21.6</v>
      </c>
      <c r="E23" s="20">
        <v>453.21999511718752</v>
      </c>
      <c r="G23" s="21">
        <v>431.6199951171875</v>
      </c>
      <c r="H23" s="21"/>
      <c r="I23" s="21"/>
    </row>
    <row r="24" spans="1:9">
      <c r="A24" t="s">
        <v>103</v>
      </c>
      <c r="B24" s="20">
        <v>14</v>
      </c>
      <c r="C24" s="20">
        <v>846.70001220703125</v>
      </c>
      <c r="D24" s="20">
        <v>30.240000000000002</v>
      </c>
      <c r="E24" s="20">
        <v>876.94001220703126</v>
      </c>
      <c r="G24" s="21">
        <v>846.70001220703125</v>
      </c>
      <c r="H24" s="21"/>
      <c r="I24" s="21"/>
    </row>
    <row r="25" spans="1:9">
      <c r="A25" t="s">
        <v>106</v>
      </c>
      <c r="B25" s="20">
        <v>268</v>
      </c>
      <c r="C25" s="20">
        <v>14128.06005859375</v>
      </c>
      <c r="D25" s="20">
        <v>613.68000000000006</v>
      </c>
      <c r="E25" s="20">
        <v>14741.74005859375</v>
      </c>
      <c r="G25" s="21">
        <v>14128.06005859375</v>
      </c>
      <c r="H25" s="21"/>
      <c r="I25" s="21"/>
    </row>
    <row r="26" spans="1:9">
      <c r="A26" t="s">
        <v>181</v>
      </c>
      <c r="B26" s="20"/>
      <c r="C26" s="20"/>
      <c r="D26" s="20"/>
      <c r="E26" s="20"/>
    </row>
    <row r="27" spans="1:9">
      <c r="A27" t="s">
        <v>182</v>
      </c>
      <c r="B27" s="20">
        <v>1362</v>
      </c>
      <c r="C27" s="20">
        <v>68394.559753417969</v>
      </c>
      <c r="D27" s="20">
        <v>3194.6399999999994</v>
      </c>
      <c r="E27" s="20">
        <v>71589.199753417968</v>
      </c>
    </row>
  </sheetData>
  <mergeCells count="8">
    <mergeCell ref="G24:I24"/>
    <mergeCell ref="G25:I25"/>
    <mergeCell ref="G18:I18"/>
    <mergeCell ref="G19:I19"/>
    <mergeCell ref="G20:I20"/>
    <mergeCell ref="G21:I21"/>
    <mergeCell ref="G22:I22"/>
    <mergeCell ref="G23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3"/>
  <sheetViews>
    <sheetView tabSelected="1" workbookViewId="0">
      <selection activeCell="E10" sqref="E10"/>
    </sheetView>
  </sheetViews>
  <sheetFormatPr defaultRowHeight="14.25"/>
  <cols>
    <col min="5" max="5" width="51.375" bestFit="1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2025</v>
      </c>
      <c r="B2" s="2">
        <v>5</v>
      </c>
      <c r="C2" s="2">
        <v>3</v>
      </c>
      <c r="D2" s="2">
        <v>735193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2">
        <v>24</v>
      </c>
      <c r="Q2" s="2">
        <v>0</v>
      </c>
      <c r="R2" s="2">
        <v>0</v>
      </c>
      <c r="S2" s="2">
        <v>24</v>
      </c>
      <c r="T2" s="2">
        <v>0</v>
      </c>
      <c r="U2" s="2">
        <v>24</v>
      </c>
      <c r="V2" s="2">
        <v>2</v>
      </c>
      <c r="W2" s="2">
        <v>0</v>
      </c>
      <c r="X2" s="3">
        <v>91.050003051757813</v>
      </c>
      <c r="Y2" s="2">
        <v>0</v>
      </c>
      <c r="Z2" s="2">
        <v>0</v>
      </c>
      <c r="AA2" s="2">
        <v>648</v>
      </c>
      <c r="AB2" s="2">
        <v>10</v>
      </c>
      <c r="AC2" s="2">
        <v>90</v>
      </c>
      <c r="AD2" s="2">
        <v>0</v>
      </c>
      <c r="AE2" s="2">
        <v>208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3">
        <v>10.52067756652832</v>
      </c>
      <c r="AN2" s="2">
        <v>0</v>
      </c>
      <c r="AO2" s="2">
        <v>0</v>
      </c>
      <c r="AP2" s="2">
        <v>0</v>
      </c>
      <c r="AQ2" s="1" t="s">
        <v>66</v>
      </c>
      <c r="AR2" s="2">
        <v>0</v>
      </c>
      <c r="AS2" s="1" t="s">
        <v>66</v>
      </c>
      <c r="AT2" s="2">
        <v>956</v>
      </c>
      <c r="AU2" s="2">
        <v>308</v>
      </c>
      <c r="AV2" s="2">
        <v>956</v>
      </c>
      <c r="AW2" s="2">
        <v>956</v>
      </c>
      <c r="AX2" s="2">
        <v>956</v>
      </c>
      <c r="AY2" s="3">
        <v>51.84</v>
      </c>
      <c r="AZ2" s="3">
        <v>1007.84</v>
      </c>
      <c r="BA2" s="2">
        <v>0</v>
      </c>
      <c r="BB2" s="3">
        <v>181.41120000000001</v>
      </c>
      <c r="BC2" s="3">
        <v>1189.2512000000002</v>
      </c>
    </row>
    <row r="3" spans="1:55">
      <c r="A3" s="2">
        <v>2025</v>
      </c>
      <c r="B3" s="2">
        <v>5</v>
      </c>
      <c r="C3" s="2">
        <v>3</v>
      </c>
      <c r="D3" s="2">
        <v>744645</v>
      </c>
      <c r="E3" s="1" t="s">
        <v>67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2">
        <v>70</v>
      </c>
      <c r="Q3" s="2">
        <v>1</v>
      </c>
      <c r="R3" s="2">
        <v>0</v>
      </c>
      <c r="S3" s="2">
        <v>54</v>
      </c>
      <c r="T3" s="2">
        <v>16</v>
      </c>
      <c r="U3" s="2">
        <v>70</v>
      </c>
      <c r="V3" s="2">
        <v>6</v>
      </c>
      <c r="W3" s="2">
        <v>0</v>
      </c>
      <c r="X3" s="3">
        <v>330.1300048828125</v>
      </c>
      <c r="Y3" s="2">
        <v>27</v>
      </c>
      <c r="Z3" s="2">
        <v>0</v>
      </c>
      <c r="AA3" s="2">
        <v>1917</v>
      </c>
      <c r="AB3" s="2">
        <v>0</v>
      </c>
      <c r="AC3" s="2">
        <v>130</v>
      </c>
      <c r="AD3" s="2">
        <v>0</v>
      </c>
      <c r="AE3" s="2">
        <v>643</v>
      </c>
      <c r="AF3" s="2">
        <v>0</v>
      </c>
      <c r="AG3" s="2">
        <v>0</v>
      </c>
      <c r="AH3" s="2">
        <v>0</v>
      </c>
      <c r="AI3" s="2">
        <v>48</v>
      </c>
      <c r="AJ3" s="2">
        <v>0</v>
      </c>
      <c r="AK3" s="2">
        <v>0</v>
      </c>
      <c r="AL3" s="2">
        <v>0</v>
      </c>
      <c r="AM3" s="3">
        <v>33.39825439453125</v>
      </c>
      <c r="AN3" s="2">
        <v>0</v>
      </c>
      <c r="AO3" s="2">
        <v>0</v>
      </c>
      <c r="AP3" s="2">
        <v>0</v>
      </c>
      <c r="AQ3" s="1" t="s">
        <v>66</v>
      </c>
      <c r="AR3" s="2">
        <v>0</v>
      </c>
      <c r="AS3" s="1" t="s">
        <v>66</v>
      </c>
      <c r="AT3" s="2">
        <v>2738</v>
      </c>
      <c r="AU3" s="2">
        <v>821</v>
      </c>
      <c r="AV3" s="2">
        <v>2738</v>
      </c>
      <c r="AW3" s="2">
        <v>2738</v>
      </c>
      <c r="AX3" s="2">
        <v>2738</v>
      </c>
      <c r="AY3" s="3">
        <v>153.36000000000001</v>
      </c>
      <c r="AZ3" s="3">
        <v>2891.36</v>
      </c>
      <c r="BA3" s="2">
        <v>0</v>
      </c>
      <c r="BB3" s="3">
        <v>520.44479999999999</v>
      </c>
      <c r="BC3" s="3">
        <v>3411.8047999999999</v>
      </c>
    </row>
    <row r="4" spans="1:55">
      <c r="A4" s="2">
        <v>2025</v>
      </c>
      <c r="B4" s="2">
        <v>5</v>
      </c>
      <c r="C4" s="2">
        <v>3</v>
      </c>
      <c r="D4" s="2">
        <v>746897</v>
      </c>
      <c r="E4" s="1" t="s">
        <v>68</v>
      </c>
      <c r="F4" s="1" t="s">
        <v>56</v>
      </c>
      <c r="G4" s="1" t="s">
        <v>69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70</v>
      </c>
      <c r="O4" s="1" t="s">
        <v>65</v>
      </c>
      <c r="P4" s="2">
        <v>64</v>
      </c>
      <c r="Q4" s="2">
        <v>0</v>
      </c>
      <c r="R4" s="2">
        <v>0</v>
      </c>
      <c r="S4" s="2">
        <v>47</v>
      </c>
      <c r="T4" s="2">
        <v>17</v>
      </c>
      <c r="U4" s="2">
        <v>64</v>
      </c>
      <c r="V4" s="2">
        <v>6</v>
      </c>
      <c r="W4" s="2">
        <v>0</v>
      </c>
      <c r="X4" s="3">
        <v>309.54998779296875</v>
      </c>
      <c r="Y4" s="2">
        <v>0</v>
      </c>
      <c r="Z4" s="2">
        <v>0</v>
      </c>
      <c r="AA4" s="2">
        <v>1920</v>
      </c>
      <c r="AB4" s="2">
        <v>0</v>
      </c>
      <c r="AC4" s="2">
        <v>120</v>
      </c>
      <c r="AD4" s="2">
        <v>0</v>
      </c>
      <c r="AE4" s="2">
        <v>458</v>
      </c>
      <c r="AF4" s="2">
        <v>0</v>
      </c>
      <c r="AG4" s="2">
        <v>0</v>
      </c>
      <c r="AH4" s="2">
        <v>0</v>
      </c>
      <c r="AI4" s="2">
        <v>51</v>
      </c>
      <c r="AJ4" s="2">
        <v>0</v>
      </c>
      <c r="AK4" s="2">
        <v>0</v>
      </c>
      <c r="AL4" s="2">
        <v>0</v>
      </c>
      <c r="AM4" s="3">
        <v>31.170766830444336</v>
      </c>
      <c r="AN4" s="2">
        <v>0</v>
      </c>
      <c r="AO4" s="2">
        <v>0</v>
      </c>
      <c r="AP4" s="2">
        <v>0</v>
      </c>
      <c r="AQ4" s="1" t="s">
        <v>66</v>
      </c>
      <c r="AR4" s="2">
        <v>0</v>
      </c>
      <c r="AS4" s="1" t="s">
        <v>66</v>
      </c>
      <c r="AT4" s="2">
        <v>2549</v>
      </c>
      <c r="AU4" s="2">
        <v>629</v>
      </c>
      <c r="AV4" s="2">
        <v>2549</v>
      </c>
      <c r="AW4" s="2">
        <v>2549</v>
      </c>
      <c r="AX4" s="2">
        <v>2549</v>
      </c>
      <c r="AY4" s="3">
        <v>153.6</v>
      </c>
      <c r="AZ4" s="3">
        <v>2702.6</v>
      </c>
      <c r="BA4" s="2">
        <v>0</v>
      </c>
      <c r="BB4" s="3">
        <v>486.46799999999996</v>
      </c>
      <c r="BC4" s="3">
        <v>3189.0679999999998</v>
      </c>
    </row>
    <row r="5" spans="1:55">
      <c r="A5" s="2">
        <v>2025</v>
      </c>
      <c r="B5" s="2">
        <v>5</v>
      </c>
      <c r="C5" s="2">
        <v>3</v>
      </c>
      <c r="D5" s="2">
        <v>753406</v>
      </c>
      <c r="E5" s="1" t="s">
        <v>71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65</v>
      </c>
      <c r="P5" s="2">
        <v>58</v>
      </c>
      <c r="Q5" s="2">
        <v>0</v>
      </c>
      <c r="R5" s="2">
        <v>0</v>
      </c>
      <c r="S5" s="2">
        <v>48</v>
      </c>
      <c r="T5" s="2">
        <v>10</v>
      </c>
      <c r="U5" s="2">
        <v>58</v>
      </c>
      <c r="V5" s="2">
        <v>6</v>
      </c>
      <c r="W5" s="2">
        <v>0</v>
      </c>
      <c r="X5" s="3">
        <v>267.3900146484375</v>
      </c>
      <c r="Y5" s="2">
        <v>0</v>
      </c>
      <c r="Z5" s="2">
        <v>0</v>
      </c>
      <c r="AA5" s="2">
        <v>1566</v>
      </c>
      <c r="AB5" s="2">
        <v>60</v>
      </c>
      <c r="AC5" s="2">
        <v>170</v>
      </c>
      <c r="AD5" s="2">
        <v>0</v>
      </c>
      <c r="AE5" s="2">
        <v>439</v>
      </c>
      <c r="AF5" s="2">
        <v>0</v>
      </c>
      <c r="AG5" s="2">
        <v>0</v>
      </c>
      <c r="AH5" s="2">
        <v>0</v>
      </c>
      <c r="AI5" s="2">
        <v>30</v>
      </c>
      <c r="AJ5" s="2">
        <v>0</v>
      </c>
      <c r="AK5" s="2">
        <v>0</v>
      </c>
      <c r="AL5" s="2">
        <v>0</v>
      </c>
      <c r="AM5" s="3">
        <v>23.9913330078125</v>
      </c>
      <c r="AN5" s="2">
        <v>0</v>
      </c>
      <c r="AO5" s="2">
        <v>0</v>
      </c>
      <c r="AP5" s="2">
        <v>0</v>
      </c>
      <c r="AQ5" s="1" t="s">
        <v>66</v>
      </c>
      <c r="AR5" s="2">
        <v>0</v>
      </c>
      <c r="AS5" s="1" t="s">
        <v>66</v>
      </c>
      <c r="AT5" s="2">
        <v>2265</v>
      </c>
      <c r="AU5" s="2">
        <v>699</v>
      </c>
      <c r="AV5" s="2">
        <v>2265</v>
      </c>
      <c r="AW5" s="2">
        <v>2265</v>
      </c>
      <c r="AX5" s="2">
        <v>2265</v>
      </c>
      <c r="AY5" s="3">
        <v>125.28</v>
      </c>
      <c r="AZ5" s="3">
        <v>2390.2800000000002</v>
      </c>
      <c r="BA5" s="2">
        <v>0</v>
      </c>
      <c r="BB5" s="3">
        <v>430.25040000000001</v>
      </c>
      <c r="BC5" s="3">
        <v>2820.5304000000001</v>
      </c>
    </row>
    <row r="6" spans="1:55">
      <c r="A6" s="22">
        <v>2025</v>
      </c>
      <c r="B6" s="22">
        <v>5</v>
      </c>
      <c r="C6" s="22">
        <v>3</v>
      </c>
      <c r="D6" s="22">
        <v>753657</v>
      </c>
      <c r="E6" s="23" t="s">
        <v>72</v>
      </c>
      <c r="F6" s="23" t="s">
        <v>56</v>
      </c>
      <c r="G6" s="23" t="s">
        <v>69</v>
      </c>
      <c r="H6" s="23" t="s">
        <v>58</v>
      </c>
      <c r="I6" s="23" t="s">
        <v>59</v>
      </c>
      <c r="J6" s="23" t="s">
        <v>60</v>
      </c>
      <c r="K6" s="23" t="s">
        <v>61</v>
      </c>
      <c r="L6" s="23" t="s">
        <v>62</v>
      </c>
      <c r="M6" s="23" t="s">
        <v>63</v>
      </c>
      <c r="N6" s="23" t="s">
        <v>70</v>
      </c>
      <c r="O6" s="23" t="s">
        <v>65</v>
      </c>
      <c r="P6" s="22">
        <v>49</v>
      </c>
      <c r="Q6" s="22">
        <v>0</v>
      </c>
      <c r="R6" s="22">
        <v>0</v>
      </c>
      <c r="S6" s="22">
        <v>38</v>
      </c>
      <c r="T6" s="22">
        <v>11</v>
      </c>
      <c r="U6" s="22">
        <v>49</v>
      </c>
      <c r="V6" s="22">
        <v>3</v>
      </c>
      <c r="W6" s="22">
        <v>0</v>
      </c>
      <c r="X6" s="24">
        <v>241.61000061035156</v>
      </c>
      <c r="Y6" s="22">
        <v>0</v>
      </c>
      <c r="Z6" s="22">
        <v>0</v>
      </c>
      <c r="AA6" s="22">
        <v>1470</v>
      </c>
      <c r="AB6" s="22">
        <v>0</v>
      </c>
      <c r="AC6" s="22">
        <v>120</v>
      </c>
      <c r="AD6" s="22">
        <v>0</v>
      </c>
      <c r="AE6" s="22">
        <v>679</v>
      </c>
      <c r="AF6" s="22">
        <v>0</v>
      </c>
      <c r="AG6" s="22">
        <v>0</v>
      </c>
      <c r="AH6" s="22">
        <v>0</v>
      </c>
      <c r="AI6" s="22">
        <v>33</v>
      </c>
      <c r="AJ6" s="22">
        <v>0</v>
      </c>
      <c r="AK6" s="22">
        <v>0</v>
      </c>
      <c r="AL6" s="22">
        <v>0</v>
      </c>
      <c r="AM6" s="24">
        <v>19.878122329711914</v>
      </c>
      <c r="AN6" s="22">
        <v>0</v>
      </c>
      <c r="AO6" s="22">
        <v>0</v>
      </c>
      <c r="AP6" s="22">
        <v>0</v>
      </c>
      <c r="AQ6" s="23" t="s">
        <v>66</v>
      </c>
      <c r="AR6" s="22">
        <v>500</v>
      </c>
      <c r="AS6" s="23" t="s">
        <v>73</v>
      </c>
      <c r="AT6" s="22">
        <v>2302</v>
      </c>
      <c r="AU6" s="22">
        <v>832</v>
      </c>
      <c r="AV6" s="22">
        <v>2302</v>
      </c>
      <c r="AW6" s="22">
        <v>2302</v>
      </c>
      <c r="AX6" s="22">
        <v>1802</v>
      </c>
      <c r="AY6" s="24">
        <v>117.60000000000001</v>
      </c>
      <c r="AZ6" s="24">
        <v>1919.6</v>
      </c>
      <c r="BA6" s="22">
        <v>0</v>
      </c>
      <c r="BB6" s="24">
        <v>345.52799999999996</v>
      </c>
      <c r="BC6" s="24">
        <v>2265.1279999999997</v>
      </c>
    </row>
    <row r="7" spans="1:55">
      <c r="A7" s="2">
        <v>2025</v>
      </c>
      <c r="B7" s="2">
        <v>5</v>
      </c>
      <c r="C7" s="2">
        <v>3</v>
      </c>
      <c r="D7" s="2">
        <v>754583</v>
      </c>
      <c r="E7" s="1" t="s">
        <v>74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2">
        <v>5</v>
      </c>
      <c r="Q7" s="2">
        <v>0</v>
      </c>
      <c r="R7" s="2">
        <v>0</v>
      </c>
      <c r="S7" s="2">
        <v>5</v>
      </c>
      <c r="T7" s="2">
        <v>0</v>
      </c>
      <c r="U7" s="2">
        <v>5</v>
      </c>
      <c r="V7" s="2">
        <v>1</v>
      </c>
      <c r="W7" s="2">
        <v>0</v>
      </c>
      <c r="X7" s="3">
        <v>29.139999389648437</v>
      </c>
      <c r="Y7" s="2">
        <v>0</v>
      </c>
      <c r="Z7" s="2">
        <v>0</v>
      </c>
      <c r="AA7" s="2">
        <v>135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3">
        <v>2.7560555934906006</v>
      </c>
      <c r="AN7" s="2">
        <v>0</v>
      </c>
      <c r="AO7" s="2">
        <v>0</v>
      </c>
      <c r="AP7" s="2">
        <v>0</v>
      </c>
      <c r="AQ7" s="1" t="s">
        <v>66</v>
      </c>
      <c r="AR7" s="2">
        <v>0</v>
      </c>
      <c r="AS7" s="1" t="s">
        <v>66</v>
      </c>
      <c r="AT7" s="2">
        <v>135</v>
      </c>
      <c r="AU7" s="2">
        <v>0</v>
      </c>
      <c r="AV7" s="2">
        <v>135</v>
      </c>
      <c r="AW7" s="2">
        <v>135</v>
      </c>
      <c r="AX7" s="2">
        <v>135</v>
      </c>
      <c r="AY7" s="3">
        <v>10.8</v>
      </c>
      <c r="AZ7" s="3">
        <v>145.80000000000001</v>
      </c>
      <c r="BA7" s="2">
        <v>0</v>
      </c>
      <c r="BB7" s="3">
        <v>26.244</v>
      </c>
      <c r="BC7" s="3">
        <v>172.04400000000001</v>
      </c>
    </row>
    <row r="8" spans="1:55">
      <c r="A8" s="2">
        <v>2025</v>
      </c>
      <c r="B8" s="2">
        <v>5</v>
      </c>
      <c r="C8" s="2">
        <v>3</v>
      </c>
      <c r="D8" s="2">
        <v>754742</v>
      </c>
      <c r="E8" s="1" t="s">
        <v>75</v>
      </c>
      <c r="F8" s="1" t="s">
        <v>56</v>
      </c>
      <c r="G8" s="1" t="s">
        <v>57</v>
      </c>
      <c r="H8" s="1" t="s">
        <v>58</v>
      </c>
      <c r="I8" s="1" t="s">
        <v>59</v>
      </c>
      <c r="J8" s="1" t="s">
        <v>60</v>
      </c>
      <c r="K8" s="1" t="s">
        <v>61</v>
      </c>
      <c r="L8" s="1" t="s">
        <v>62</v>
      </c>
      <c r="M8" s="1" t="s">
        <v>63</v>
      </c>
      <c r="N8" s="1" t="s">
        <v>64</v>
      </c>
      <c r="O8" s="1" t="s">
        <v>65</v>
      </c>
      <c r="P8" s="2">
        <v>26</v>
      </c>
      <c r="Q8" s="2">
        <v>0</v>
      </c>
      <c r="R8" s="2">
        <v>0</v>
      </c>
      <c r="S8" s="2">
        <v>0</v>
      </c>
      <c r="T8" s="2">
        <v>26</v>
      </c>
      <c r="U8" s="2">
        <v>26</v>
      </c>
      <c r="V8" s="2">
        <v>2</v>
      </c>
      <c r="W8" s="2">
        <v>0</v>
      </c>
      <c r="X8" s="3">
        <v>117.36000061035156</v>
      </c>
      <c r="Y8" s="2">
        <v>0</v>
      </c>
      <c r="Z8" s="2">
        <v>0</v>
      </c>
      <c r="AA8" s="2">
        <v>702</v>
      </c>
      <c r="AB8" s="2">
        <v>0</v>
      </c>
      <c r="AC8" s="2">
        <v>30</v>
      </c>
      <c r="AD8" s="2">
        <v>0</v>
      </c>
      <c r="AE8" s="2">
        <v>208</v>
      </c>
      <c r="AF8" s="2">
        <v>0</v>
      </c>
      <c r="AG8" s="2">
        <v>0</v>
      </c>
      <c r="AH8" s="2">
        <v>0</v>
      </c>
      <c r="AI8" s="2">
        <v>78</v>
      </c>
      <c r="AJ8" s="2">
        <v>0</v>
      </c>
      <c r="AK8" s="2">
        <v>0</v>
      </c>
      <c r="AL8" s="2">
        <v>0</v>
      </c>
      <c r="AM8" s="3">
        <v>11.697667121887207</v>
      </c>
      <c r="AN8" s="2">
        <v>0</v>
      </c>
      <c r="AO8" s="2">
        <v>0</v>
      </c>
      <c r="AP8" s="2">
        <v>0</v>
      </c>
      <c r="AQ8" s="1" t="s">
        <v>66</v>
      </c>
      <c r="AR8" s="2">
        <v>0</v>
      </c>
      <c r="AS8" s="1" t="s">
        <v>66</v>
      </c>
      <c r="AT8" s="2">
        <v>1018</v>
      </c>
      <c r="AU8" s="2">
        <v>316</v>
      </c>
      <c r="AV8" s="2">
        <v>1018</v>
      </c>
      <c r="AW8" s="2">
        <v>1018</v>
      </c>
      <c r="AX8" s="2">
        <v>1018</v>
      </c>
      <c r="AY8" s="3">
        <v>56.160000000000004</v>
      </c>
      <c r="AZ8" s="3">
        <v>1074.1600000000001</v>
      </c>
      <c r="BA8" s="2">
        <v>0</v>
      </c>
      <c r="BB8" s="3">
        <v>193.34880000000001</v>
      </c>
      <c r="BC8" s="3">
        <v>1267.5088000000001</v>
      </c>
    </row>
    <row r="9" spans="1:55">
      <c r="A9" s="2">
        <v>2025</v>
      </c>
      <c r="B9" s="2">
        <v>5</v>
      </c>
      <c r="C9" s="2">
        <v>3</v>
      </c>
      <c r="D9" s="2">
        <v>755539</v>
      </c>
      <c r="E9" s="1" t="s">
        <v>76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  <c r="M9" s="1" t="s">
        <v>63</v>
      </c>
      <c r="N9" s="1" t="s">
        <v>64</v>
      </c>
      <c r="O9" s="1" t="s">
        <v>65</v>
      </c>
      <c r="P9" s="2">
        <v>7</v>
      </c>
      <c r="Q9" s="2">
        <v>0</v>
      </c>
      <c r="R9" s="2">
        <v>0</v>
      </c>
      <c r="S9" s="2">
        <v>0</v>
      </c>
      <c r="T9" s="2">
        <v>7</v>
      </c>
      <c r="U9" s="2">
        <v>7</v>
      </c>
      <c r="V9" s="2">
        <v>1</v>
      </c>
      <c r="W9" s="2">
        <v>0</v>
      </c>
      <c r="X9" s="3">
        <v>32.779998779296875</v>
      </c>
      <c r="Y9" s="2">
        <v>0</v>
      </c>
      <c r="Z9" s="2">
        <v>0</v>
      </c>
      <c r="AA9" s="2">
        <v>189</v>
      </c>
      <c r="AB9" s="2">
        <v>0</v>
      </c>
      <c r="AC9" s="2">
        <v>30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21</v>
      </c>
      <c r="AJ9" s="2">
        <v>0</v>
      </c>
      <c r="AK9" s="2">
        <v>0</v>
      </c>
      <c r="AL9" s="2">
        <v>0</v>
      </c>
      <c r="AM9" s="3">
        <v>3.88753342628479</v>
      </c>
      <c r="AN9" s="2">
        <v>0</v>
      </c>
      <c r="AO9" s="2">
        <v>0</v>
      </c>
      <c r="AP9" s="2">
        <v>0</v>
      </c>
      <c r="AQ9" s="1" t="s">
        <v>66</v>
      </c>
      <c r="AR9" s="2">
        <v>0</v>
      </c>
      <c r="AS9" s="1" t="s">
        <v>66</v>
      </c>
      <c r="AT9" s="2">
        <v>240</v>
      </c>
      <c r="AU9" s="2">
        <v>51</v>
      </c>
      <c r="AV9" s="2">
        <v>240</v>
      </c>
      <c r="AW9" s="2">
        <v>240</v>
      </c>
      <c r="AX9" s="2">
        <v>240</v>
      </c>
      <c r="AY9" s="3">
        <v>15.120000000000001</v>
      </c>
      <c r="AZ9" s="3">
        <v>255.12</v>
      </c>
      <c r="BA9" s="2">
        <v>0</v>
      </c>
      <c r="BB9" s="3">
        <v>45.921599999999998</v>
      </c>
      <c r="BC9" s="3">
        <v>301.04160000000002</v>
      </c>
    </row>
    <row r="10" spans="1:55">
      <c r="A10" s="2">
        <v>2025</v>
      </c>
      <c r="B10" s="2">
        <v>5</v>
      </c>
      <c r="C10" s="2">
        <v>3</v>
      </c>
      <c r="D10" s="2">
        <v>784832</v>
      </c>
      <c r="E10" s="1" t="s">
        <v>77</v>
      </c>
      <c r="F10" s="1" t="s">
        <v>56</v>
      </c>
      <c r="G10" s="1" t="s">
        <v>69</v>
      </c>
      <c r="H10" s="1" t="s">
        <v>58</v>
      </c>
      <c r="I10" s="1" t="s">
        <v>59</v>
      </c>
      <c r="J10" s="1" t="s">
        <v>60</v>
      </c>
      <c r="K10" s="1" t="s">
        <v>61</v>
      </c>
      <c r="L10" s="1" t="s">
        <v>62</v>
      </c>
      <c r="M10" s="1" t="s">
        <v>63</v>
      </c>
      <c r="N10" s="1" t="s">
        <v>70</v>
      </c>
      <c r="O10" s="1" t="s">
        <v>65</v>
      </c>
      <c r="P10" s="2">
        <v>140</v>
      </c>
      <c r="Q10" s="2">
        <v>7</v>
      </c>
      <c r="R10" s="2">
        <v>0</v>
      </c>
      <c r="S10" s="2">
        <v>98</v>
      </c>
      <c r="T10" s="2">
        <v>42</v>
      </c>
      <c r="U10" s="2">
        <v>140</v>
      </c>
      <c r="V10" s="2">
        <v>7</v>
      </c>
      <c r="W10" s="2">
        <v>0</v>
      </c>
      <c r="X10" s="3">
        <v>646.91998291015625</v>
      </c>
      <c r="Y10" s="2">
        <v>210</v>
      </c>
      <c r="Z10" s="2">
        <v>0</v>
      </c>
      <c r="AA10" s="2">
        <v>4410</v>
      </c>
      <c r="AB10" s="2">
        <v>35</v>
      </c>
      <c r="AC10" s="2">
        <v>620</v>
      </c>
      <c r="AD10" s="2">
        <v>0</v>
      </c>
      <c r="AE10" s="2">
        <v>1982</v>
      </c>
      <c r="AF10" s="2">
        <v>0</v>
      </c>
      <c r="AG10" s="2">
        <v>0</v>
      </c>
      <c r="AH10" s="2">
        <v>0</v>
      </c>
      <c r="AI10" s="2">
        <v>126</v>
      </c>
      <c r="AJ10" s="2">
        <v>0</v>
      </c>
      <c r="AK10" s="2">
        <v>250</v>
      </c>
      <c r="AL10" s="2">
        <v>0</v>
      </c>
      <c r="AM10" s="3">
        <v>60.507099151611328</v>
      </c>
      <c r="AN10" s="2">
        <v>0</v>
      </c>
      <c r="AO10" s="2">
        <v>0</v>
      </c>
      <c r="AP10" s="2">
        <v>0</v>
      </c>
      <c r="AQ10" s="1" t="s">
        <v>66</v>
      </c>
      <c r="AR10" s="3">
        <v>96.5</v>
      </c>
      <c r="AS10" s="1" t="s">
        <v>78</v>
      </c>
      <c r="AT10" s="2">
        <v>7423</v>
      </c>
      <c r="AU10" s="2">
        <v>3013</v>
      </c>
      <c r="AV10" s="2">
        <v>7423</v>
      </c>
      <c r="AW10" s="2">
        <v>7423</v>
      </c>
      <c r="AX10" s="3">
        <v>7326.5</v>
      </c>
      <c r="AY10" s="3">
        <v>352.8</v>
      </c>
      <c r="AZ10" s="3">
        <v>7679.3</v>
      </c>
      <c r="BA10" s="2">
        <v>0</v>
      </c>
      <c r="BB10" s="3">
        <v>1382.2739999999999</v>
      </c>
      <c r="BC10" s="3">
        <v>9061.5740000000005</v>
      </c>
    </row>
    <row r="11" spans="1:55">
      <c r="A11" s="2">
        <v>2025</v>
      </c>
      <c r="B11" s="2">
        <v>5</v>
      </c>
      <c r="C11" s="2">
        <v>3</v>
      </c>
      <c r="D11" s="2">
        <v>791546</v>
      </c>
      <c r="E11" s="1" t="s">
        <v>79</v>
      </c>
      <c r="F11" s="1" t="s">
        <v>56</v>
      </c>
      <c r="G11" s="1" t="s">
        <v>57</v>
      </c>
      <c r="H11" s="1" t="s">
        <v>58</v>
      </c>
      <c r="I11" s="1" t="s">
        <v>59</v>
      </c>
      <c r="J11" s="1" t="s">
        <v>60</v>
      </c>
      <c r="K11" s="1" t="s">
        <v>61</v>
      </c>
      <c r="L11" s="1" t="s">
        <v>62</v>
      </c>
      <c r="M11" s="1" t="s">
        <v>63</v>
      </c>
      <c r="N11" s="1" t="s">
        <v>64</v>
      </c>
      <c r="O11" s="1" t="s">
        <v>65</v>
      </c>
      <c r="P11" s="2">
        <v>7</v>
      </c>
      <c r="Q11" s="2">
        <v>0</v>
      </c>
      <c r="R11" s="2">
        <v>0</v>
      </c>
      <c r="S11" s="2">
        <v>7</v>
      </c>
      <c r="T11" s="2">
        <v>0</v>
      </c>
      <c r="U11" s="2">
        <v>7</v>
      </c>
      <c r="V11" s="2">
        <v>1</v>
      </c>
      <c r="W11" s="2">
        <v>0</v>
      </c>
      <c r="X11" s="3">
        <v>33.919998168945313</v>
      </c>
      <c r="Y11" s="2">
        <v>0</v>
      </c>
      <c r="Z11" s="2">
        <v>0</v>
      </c>
      <c r="AA11" s="2">
        <v>189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3">
        <v>3.874333381652832</v>
      </c>
      <c r="AN11" s="2">
        <v>0</v>
      </c>
      <c r="AO11" s="2">
        <v>0</v>
      </c>
      <c r="AP11" s="2">
        <v>0</v>
      </c>
      <c r="AQ11" s="1" t="s">
        <v>66</v>
      </c>
      <c r="AR11" s="2">
        <v>0</v>
      </c>
      <c r="AS11" s="1" t="s">
        <v>66</v>
      </c>
      <c r="AT11" s="2">
        <v>189</v>
      </c>
      <c r="AU11" s="2">
        <v>0</v>
      </c>
      <c r="AV11" s="2">
        <v>189</v>
      </c>
      <c r="AW11" s="2">
        <v>189</v>
      </c>
      <c r="AX11" s="2">
        <v>189</v>
      </c>
      <c r="AY11" s="3">
        <v>15.120000000000001</v>
      </c>
      <c r="AZ11" s="3">
        <v>204.12</v>
      </c>
      <c r="BA11" s="2">
        <v>0</v>
      </c>
      <c r="BB11" s="3">
        <v>36.741599999999998</v>
      </c>
      <c r="BC11" s="3">
        <v>240.86160000000001</v>
      </c>
    </row>
    <row r="12" spans="1:55">
      <c r="A12" s="2">
        <v>2025</v>
      </c>
      <c r="B12" s="2">
        <v>5</v>
      </c>
      <c r="C12" s="2">
        <v>3</v>
      </c>
      <c r="D12" s="2">
        <v>738700</v>
      </c>
      <c r="E12" s="1" t="s">
        <v>80</v>
      </c>
      <c r="F12" s="1" t="s">
        <v>56</v>
      </c>
      <c r="G12" s="1" t="s">
        <v>69</v>
      </c>
      <c r="H12" s="1" t="s">
        <v>58</v>
      </c>
      <c r="I12" s="1" t="s">
        <v>81</v>
      </c>
      <c r="J12" s="1" t="s">
        <v>60</v>
      </c>
      <c r="K12" s="1" t="s">
        <v>61</v>
      </c>
      <c r="L12" s="1" t="s">
        <v>62</v>
      </c>
      <c r="M12" s="1" t="s">
        <v>63</v>
      </c>
      <c r="N12" s="1" t="s">
        <v>82</v>
      </c>
      <c r="O12" s="1" t="s">
        <v>65</v>
      </c>
      <c r="P12" s="2">
        <v>149</v>
      </c>
      <c r="Q12" s="2">
        <v>1</v>
      </c>
      <c r="R12" s="2">
        <v>0</v>
      </c>
      <c r="S12" s="2">
        <v>84</v>
      </c>
      <c r="T12" s="2">
        <v>65</v>
      </c>
      <c r="U12" s="2">
        <v>149</v>
      </c>
      <c r="V12" s="2">
        <v>6</v>
      </c>
      <c r="W12" s="2">
        <v>0</v>
      </c>
      <c r="X12" s="3">
        <v>712.5</v>
      </c>
      <c r="Y12" s="2">
        <v>30</v>
      </c>
      <c r="Z12" s="2">
        <v>0</v>
      </c>
      <c r="AA12" s="2">
        <v>4500</v>
      </c>
      <c r="AB12" s="2">
        <v>0</v>
      </c>
      <c r="AC12" s="2">
        <v>300</v>
      </c>
      <c r="AD12" s="2">
        <v>0</v>
      </c>
      <c r="AE12" s="2">
        <v>2370</v>
      </c>
      <c r="AF12" s="2">
        <v>0</v>
      </c>
      <c r="AG12" s="2">
        <v>0</v>
      </c>
      <c r="AH12" s="2">
        <v>0</v>
      </c>
      <c r="AI12" s="2">
        <v>198</v>
      </c>
      <c r="AJ12" s="2">
        <v>0</v>
      </c>
      <c r="AK12" s="2">
        <v>250</v>
      </c>
      <c r="AL12" s="2">
        <v>0</v>
      </c>
      <c r="AM12" s="3">
        <v>43.791557312011719</v>
      </c>
      <c r="AN12" s="2">
        <v>0</v>
      </c>
      <c r="AO12" s="2">
        <v>0</v>
      </c>
      <c r="AP12" s="2">
        <v>0</v>
      </c>
      <c r="AQ12" s="1" t="s">
        <v>66</v>
      </c>
      <c r="AR12" s="2">
        <v>0</v>
      </c>
      <c r="AS12" s="1" t="s">
        <v>66</v>
      </c>
      <c r="AT12" s="2">
        <v>7618</v>
      </c>
      <c r="AU12" s="2">
        <v>3118</v>
      </c>
      <c r="AV12" s="2">
        <v>7618</v>
      </c>
      <c r="AW12" s="2">
        <v>7618</v>
      </c>
      <c r="AX12" s="2">
        <v>7618</v>
      </c>
      <c r="AY12" s="3">
        <v>360</v>
      </c>
      <c r="AZ12" s="3">
        <v>7978</v>
      </c>
      <c r="BA12" s="2">
        <v>0</v>
      </c>
      <c r="BB12" s="3">
        <v>1436.04</v>
      </c>
      <c r="BC12" s="3">
        <v>9414.0400000000009</v>
      </c>
    </row>
    <row r="13" spans="1:55">
      <c r="A13" s="2">
        <v>2025</v>
      </c>
      <c r="B13" s="2">
        <v>5</v>
      </c>
      <c r="C13" s="2">
        <v>3</v>
      </c>
      <c r="D13" s="2">
        <v>739946</v>
      </c>
      <c r="E13" s="1" t="s">
        <v>83</v>
      </c>
      <c r="F13" s="1" t="s">
        <v>56</v>
      </c>
      <c r="G13" s="1" t="s">
        <v>57</v>
      </c>
      <c r="H13" s="1" t="s">
        <v>58</v>
      </c>
      <c r="I13" s="1" t="s">
        <v>81</v>
      </c>
      <c r="J13" s="1" t="s">
        <v>60</v>
      </c>
      <c r="K13" s="1" t="s">
        <v>61</v>
      </c>
      <c r="L13" s="1" t="s">
        <v>62</v>
      </c>
      <c r="M13" s="1" t="s">
        <v>63</v>
      </c>
      <c r="N13" s="1" t="s">
        <v>84</v>
      </c>
      <c r="O13" s="1" t="s">
        <v>65</v>
      </c>
      <c r="P13" s="2">
        <v>5</v>
      </c>
      <c r="Q13" s="2">
        <v>1</v>
      </c>
      <c r="R13" s="2">
        <v>0</v>
      </c>
      <c r="S13" s="2">
        <v>5</v>
      </c>
      <c r="T13" s="2">
        <v>0</v>
      </c>
      <c r="U13" s="2">
        <v>5</v>
      </c>
      <c r="V13" s="2">
        <v>3</v>
      </c>
      <c r="W13" s="2">
        <v>0</v>
      </c>
      <c r="X13" s="3">
        <v>26.020000457763672</v>
      </c>
      <c r="Y13" s="2">
        <v>27</v>
      </c>
      <c r="Z13" s="2">
        <v>0</v>
      </c>
      <c r="AA13" s="2">
        <v>162</v>
      </c>
      <c r="AB13" s="2">
        <v>0</v>
      </c>
      <c r="AC13" s="2">
        <v>5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3</v>
      </c>
      <c r="AJ13" s="2">
        <v>0</v>
      </c>
      <c r="AK13" s="2">
        <v>0</v>
      </c>
      <c r="AL13" s="2">
        <v>0</v>
      </c>
      <c r="AM13" s="3">
        <v>3.2880556583404541</v>
      </c>
      <c r="AN13" s="2">
        <v>0</v>
      </c>
      <c r="AO13" s="2">
        <v>0</v>
      </c>
      <c r="AP13" s="2">
        <v>0</v>
      </c>
      <c r="AQ13" s="1" t="s">
        <v>66</v>
      </c>
      <c r="AR13" s="2">
        <v>0</v>
      </c>
      <c r="AS13" s="1" t="s">
        <v>66</v>
      </c>
      <c r="AT13" s="2">
        <v>170</v>
      </c>
      <c r="AU13" s="2">
        <v>8</v>
      </c>
      <c r="AV13" s="2">
        <v>170</v>
      </c>
      <c r="AW13" s="2">
        <v>170</v>
      </c>
      <c r="AX13" s="2">
        <v>170</v>
      </c>
      <c r="AY13" s="3">
        <v>12.96</v>
      </c>
      <c r="AZ13" s="3">
        <v>182.96</v>
      </c>
      <c r="BA13" s="2">
        <v>0</v>
      </c>
      <c r="BB13" s="3">
        <v>32.9328</v>
      </c>
      <c r="BC13" s="3">
        <v>215.89280000000002</v>
      </c>
    </row>
    <row r="14" spans="1:55">
      <c r="A14" s="2">
        <v>2025</v>
      </c>
      <c r="B14" s="2">
        <v>5</v>
      </c>
      <c r="C14" s="2">
        <v>3</v>
      </c>
      <c r="D14" s="2">
        <v>741275</v>
      </c>
      <c r="E14" s="1" t="s">
        <v>85</v>
      </c>
      <c r="F14" s="1" t="s">
        <v>56</v>
      </c>
      <c r="G14" s="1" t="s">
        <v>69</v>
      </c>
      <c r="H14" s="1" t="s">
        <v>58</v>
      </c>
      <c r="I14" s="1" t="s">
        <v>86</v>
      </c>
      <c r="J14" s="1" t="s">
        <v>60</v>
      </c>
      <c r="K14" s="1" t="s">
        <v>61</v>
      </c>
      <c r="L14" s="1" t="s">
        <v>62</v>
      </c>
      <c r="M14" s="1" t="s">
        <v>63</v>
      </c>
      <c r="N14" s="1" t="s">
        <v>87</v>
      </c>
      <c r="O14" s="1" t="s">
        <v>65</v>
      </c>
      <c r="P14" s="2">
        <v>180</v>
      </c>
      <c r="Q14" s="2">
        <v>1</v>
      </c>
      <c r="R14" s="2">
        <v>1</v>
      </c>
      <c r="S14" s="2">
        <v>125</v>
      </c>
      <c r="T14" s="2">
        <v>55</v>
      </c>
      <c r="U14" s="2">
        <v>181</v>
      </c>
      <c r="V14" s="2">
        <v>7</v>
      </c>
      <c r="W14" s="2">
        <v>0</v>
      </c>
      <c r="X14" s="3">
        <v>965.07000732421875</v>
      </c>
      <c r="Y14" s="2">
        <v>30</v>
      </c>
      <c r="Z14" s="2">
        <v>30</v>
      </c>
      <c r="AA14" s="2">
        <v>5460</v>
      </c>
      <c r="AB14" s="2">
        <v>15</v>
      </c>
      <c r="AC14" s="2">
        <v>3640</v>
      </c>
      <c r="AD14" s="3">
        <v>577.67999267578125</v>
      </c>
      <c r="AE14" s="2">
        <v>3077</v>
      </c>
      <c r="AF14" s="2">
        <v>0</v>
      </c>
      <c r="AG14" s="2">
        <v>0</v>
      </c>
      <c r="AH14" s="2">
        <v>0</v>
      </c>
      <c r="AI14" s="2">
        <v>168</v>
      </c>
      <c r="AJ14" s="2">
        <v>0</v>
      </c>
      <c r="AK14" s="2">
        <v>500</v>
      </c>
      <c r="AL14" s="2">
        <v>0</v>
      </c>
      <c r="AM14" s="2">
        <v>63</v>
      </c>
      <c r="AN14" s="2">
        <v>0</v>
      </c>
      <c r="AO14" s="2">
        <v>0</v>
      </c>
      <c r="AP14" s="2">
        <v>0</v>
      </c>
      <c r="AQ14" s="1" t="s">
        <v>66</v>
      </c>
      <c r="AR14" s="2">
        <v>50</v>
      </c>
      <c r="AS14" s="1" t="s">
        <v>73</v>
      </c>
      <c r="AT14" s="3">
        <v>13437.6796875</v>
      </c>
      <c r="AU14" s="3">
        <v>7977.68017578125</v>
      </c>
      <c r="AV14" s="3">
        <v>13437.6796875</v>
      </c>
      <c r="AW14" s="3">
        <v>13437.6796875</v>
      </c>
      <c r="AX14" s="3">
        <v>13387.6796875</v>
      </c>
      <c r="AY14" s="3">
        <v>436.8</v>
      </c>
      <c r="AZ14" s="3">
        <v>13824.479687499999</v>
      </c>
      <c r="BA14" s="2">
        <v>0</v>
      </c>
      <c r="BB14" s="3">
        <v>2488.4063437499999</v>
      </c>
      <c r="BC14" s="3">
        <v>16312.88603125</v>
      </c>
    </row>
    <row r="15" spans="1:55">
      <c r="A15" s="2">
        <v>2025</v>
      </c>
      <c r="B15" s="2">
        <v>5</v>
      </c>
      <c r="C15" s="2">
        <v>3</v>
      </c>
      <c r="D15" s="2">
        <v>784299</v>
      </c>
      <c r="E15" s="1" t="s">
        <v>88</v>
      </c>
      <c r="F15" s="1" t="s">
        <v>56</v>
      </c>
      <c r="G15" s="1" t="s">
        <v>69</v>
      </c>
      <c r="H15" s="1" t="s">
        <v>58</v>
      </c>
      <c r="I15" s="1" t="s">
        <v>89</v>
      </c>
      <c r="J15" s="1" t="s">
        <v>60</v>
      </c>
      <c r="K15" s="1" t="s">
        <v>61</v>
      </c>
      <c r="L15" s="1" t="s">
        <v>62</v>
      </c>
      <c r="M15" s="1" t="s">
        <v>63</v>
      </c>
      <c r="N15" s="1" t="s">
        <v>90</v>
      </c>
      <c r="O15" s="1" t="s">
        <v>65</v>
      </c>
      <c r="P15" s="2">
        <v>121</v>
      </c>
      <c r="Q15" s="2">
        <v>2</v>
      </c>
      <c r="R15" s="2">
        <v>0</v>
      </c>
      <c r="S15" s="2">
        <v>94</v>
      </c>
      <c r="T15" s="2">
        <v>27</v>
      </c>
      <c r="U15" s="2">
        <v>121</v>
      </c>
      <c r="V15" s="2">
        <v>5</v>
      </c>
      <c r="W15" s="2">
        <v>0</v>
      </c>
      <c r="X15" s="3">
        <v>586.3499755859375</v>
      </c>
      <c r="Y15" s="2">
        <v>60</v>
      </c>
      <c r="Z15" s="2">
        <v>0</v>
      </c>
      <c r="AA15" s="2">
        <v>3690</v>
      </c>
      <c r="AB15" s="2">
        <v>30</v>
      </c>
      <c r="AC15" s="2">
        <v>0</v>
      </c>
      <c r="AD15" s="2">
        <v>0</v>
      </c>
      <c r="AE15" s="2">
        <v>2009</v>
      </c>
      <c r="AF15" s="2">
        <v>0</v>
      </c>
      <c r="AG15" s="2">
        <v>0</v>
      </c>
      <c r="AH15" s="2">
        <v>0</v>
      </c>
      <c r="AI15" s="2">
        <v>84</v>
      </c>
      <c r="AJ15" s="2">
        <v>0</v>
      </c>
      <c r="AK15" s="2">
        <v>0</v>
      </c>
      <c r="AL15" s="2">
        <v>0</v>
      </c>
      <c r="AM15" s="3">
        <v>44.600357055664062</v>
      </c>
      <c r="AN15" s="2">
        <v>0</v>
      </c>
      <c r="AO15" s="2">
        <v>0</v>
      </c>
      <c r="AP15" s="2">
        <v>450</v>
      </c>
      <c r="AQ15" s="1" t="s">
        <v>91</v>
      </c>
      <c r="AR15" s="2">
        <v>50</v>
      </c>
      <c r="AS15" s="1" t="s">
        <v>73</v>
      </c>
      <c r="AT15" s="2">
        <v>5813</v>
      </c>
      <c r="AU15" s="2">
        <v>2123</v>
      </c>
      <c r="AV15" s="2">
        <v>5813</v>
      </c>
      <c r="AW15" s="2">
        <v>6263</v>
      </c>
      <c r="AX15" s="2">
        <v>6213</v>
      </c>
      <c r="AY15" s="3">
        <v>295.2</v>
      </c>
      <c r="AZ15" s="3">
        <v>6508.2</v>
      </c>
      <c r="BA15" s="2">
        <v>0</v>
      </c>
      <c r="BB15" s="3">
        <v>1171.4759999999999</v>
      </c>
      <c r="BC15" s="3">
        <v>7679.6759999999995</v>
      </c>
    </row>
    <row r="16" spans="1:55">
      <c r="A16" s="2">
        <v>2025</v>
      </c>
      <c r="B16" s="2">
        <v>5</v>
      </c>
      <c r="C16" s="2">
        <v>3</v>
      </c>
      <c r="D16" s="2">
        <v>787959</v>
      </c>
      <c r="E16" s="1" t="s">
        <v>92</v>
      </c>
      <c r="F16" s="1" t="s">
        <v>56</v>
      </c>
      <c r="G16" s="1" t="s">
        <v>69</v>
      </c>
      <c r="H16" s="1" t="s">
        <v>58</v>
      </c>
      <c r="I16" s="1" t="s">
        <v>89</v>
      </c>
      <c r="J16" s="1" t="s">
        <v>60</v>
      </c>
      <c r="K16" s="1" t="s">
        <v>61</v>
      </c>
      <c r="L16" s="1" t="s">
        <v>62</v>
      </c>
      <c r="M16" s="1" t="s">
        <v>63</v>
      </c>
      <c r="N16" s="1" t="s">
        <v>90</v>
      </c>
      <c r="O16" s="1" t="s">
        <v>65</v>
      </c>
      <c r="P16" s="2">
        <v>31</v>
      </c>
      <c r="Q16" s="2">
        <v>0</v>
      </c>
      <c r="R16" s="2">
        <v>0</v>
      </c>
      <c r="S16" s="2">
        <v>17</v>
      </c>
      <c r="T16" s="2">
        <v>14</v>
      </c>
      <c r="U16" s="2">
        <v>31</v>
      </c>
      <c r="V16" s="2">
        <v>4</v>
      </c>
      <c r="W16" s="2">
        <v>0</v>
      </c>
      <c r="X16" s="3">
        <v>162.78999328613281</v>
      </c>
      <c r="Y16" s="2">
        <v>0</v>
      </c>
      <c r="Z16" s="2">
        <v>0</v>
      </c>
      <c r="AA16" s="2">
        <v>930</v>
      </c>
      <c r="AB16" s="2">
        <v>0</v>
      </c>
      <c r="AC16" s="2">
        <v>0</v>
      </c>
      <c r="AD16" s="2">
        <v>0</v>
      </c>
      <c r="AE16" s="2">
        <v>120</v>
      </c>
      <c r="AF16" s="2">
        <v>0</v>
      </c>
      <c r="AG16" s="2">
        <v>0</v>
      </c>
      <c r="AH16" s="2">
        <v>0</v>
      </c>
      <c r="AI16" s="2">
        <v>42</v>
      </c>
      <c r="AJ16" s="2">
        <v>0</v>
      </c>
      <c r="AK16" s="2">
        <v>0</v>
      </c>
      <c r="AL16" s="2">
        <v>0</v>
      </c>
      <c r="AM16" s="3">
        <v>15.898721694946289</v>
      </c>
      <c r="AN16" s="2">
        <v>0</v>
      </c>
      <c r="AO16" s="2">
        <v>0</v>
      </c>
      <c r="AP16" s="2">
        <v>0</v>
      </c>
      <c r="AQ16" s="1" t="s">
        <v>66</v>
      </c>
      <c r="AR16" s="2">
        <v>0</v>
      </c>
      <c r="AS16" s="1" t="s">
        <v>66</v>
      </c>
      <c r="AT16" s="2">
        <v>1092</v>
      </c>
      <c r="AU16" s="2">
        <v>162</v>
      </c>
      <c r="AV16" s="2">
        <v>1092</v>
      </c>
      <c r="AW16" s="2">
        <v>1092</v>
      </c>
      <c r="AX16" s="2">
        <v>1092</v>
      </c>
      <c r="AY16" s="3">
        <v>74.400000000000006</v>
      </c>
      <c r="AZ16" s="3">
        <v>1166.4000000000001</v>
      </c>
      <c r="BA16" s="2">
        <v>0</v>
      </c>
      <c r="BB16" s="3">
        <v>209.952</v>
      </c>
      <c r="BC16" s="3">
        <v>1376.3520000000001</v>
      </c>
    </row>
    <row r="17" spans="1:55">
      <c r="A17" s="2">
        <v>2025</v>
      </c>
      <c r="B17" s="2">
        <v>5</v>
      </c>
      <c r="C17" s="2">
        <v>3</v>
      </c>
      <c r="D17" s="2">
        <v>754658</v>
      </c>
      <c r="E17" s="1" t="s">
        <v>93</v>
      </c>
      <c r="F17" s="1" t="s">
        <v>56</v>
      </c>
      <c r="G17" s="1" t="s">
        <v>57</v>
      </c>
      <c r="H17" s="1" t="s">
        <v>58</v>
      </c>
      <c r="I17" s="1" t="s">
        <v>94</v>
      </c>
      <c r="J17" s="1" t="s">
        <v>60</v>
      </c>
      <c r="K17" s="1" t="s">
        <v>61</v>
      </c>
      <c r="L17" s="1" t="s">
        <v>62</v>
      </c>
      <c r="M17" s="1" t="s">
        <v>63</v>
      </c>
      <c r="N17" s="1" t="s">
        <v>95</v>
      </c>
      <c r="O17" s="1" t="s">
        <v>65</v>
      </c>
      <c r="P17" s="2">
        <v>36</v>
      </c>
      <c r="Q17" s="2">
        <v>1</v>
      </c>
      <c r="R17" s="2">
        <v>0</v>
      </c>
      <c r="S17" s="2">
        <v>36</v>
      </c>
      <c r="T17" s="2">
        <v>0</v>
      </c>
      <c r="U17" s="2">
        <v>36</v>
      </c>
      <c r="V17" s="2">
        <v>2</v>
      </c>
      <c r="W17" s="2">
        <v>0</v>
      </c>
      <c r="X17" s="3">
        <v>137.8699951171875</v>
      </c>
      <c r="Y17" s="2">
        <v>27</v>
      </c>
      <c r="Z17" s="2">
        <v>0</v>
      </c>
      <c r="AA17" s="2">
        <v>999</v>
      </c>
      <c r="AB17" s="2">
        <v>0</v>
      </c>
      <c r="AC17" s="2">
        <v>0</v>
      </c>
      <c r="AD17" s="2">
        <v>0</v>
      </c>
      <c r="AE17" s="2">
        <v>432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3">
        <v>14.77821159362793</v>
      </c>
      <c r="AN17" s="2">
        <v>0</v>
      </c>
      <c r="AO17" s="2">
        <v>0</v>
      </c>
      <c r="AP17" s="2">
        <v>0</v>
      </c>
      <c r="AQ17" s="1" t="s">
        <v>66</v>
      </c>
      <c r="AR17" s="2">
        <v>0</v>
      </c>
      <c r="AS17" s="1" t="s">
        <v>66</v>
      </c>
      <c r="AT17" s="2">
        <v>1431</v>
      </c>
      <c r="AU17" s="2">
        <v>432</v>
      </c>
      <c r="AV17" s="2">
        <v>1431</v>
      </c>
      <c r="AW17" s="2">
        <v>1431</v>
      </c>
      <c r="AX17" s="2">
        <v>1431</v>
      </c>
      <c r="AY17" s="3">
        <v>79.92</v>
      </c>
      <c r="AZ17" s="3">
        <v>1510.92</v>
      </c>
      <c r="BA17" s="2">
        <v>0</v>
      </c>
      <c r="BB17" s="3">
        <v>271.96559999999999</v>
      </c>
      <c r="BC17" s="3">
        <v>1782.8856000000001</v>
      </c>
    </row>
    <row r="18" spans="1:55">
      <c r="A18" s="2">
        <v>2025</v>
      </c>
      <c r="B18" s="2">
        <v>5</v>
      </c>
      <c r="C18" s="2">
        <v>3</v>
      </c>
      <c r="D18" s="2">
        <v>757911</v>
      </c>
      <c r="E18" s="1" t="s">
        <v>96</v>
      </c>
      <c r="F18" s="1" t="s">
        <v>56</v>
      </c>
      <c r="G18" s="1" t="s">
        <v>57</v>
      </c>
      <c r="H18" s="1" t="s">
        <v>58</v>
      </c>
      <c r="I18" s="1" t="s">
        <v>94</v>
      </c>
      <c r="J18" s="1" t="s">
        <v>60</v>
      </c>
      <c r="K18" s="1" t="s">
        <v>61</v>
      </c>
      <c r="L18" s="1" t="s">
        <v>62</v>
      </c>
      <c r="M18" s="1" t="s">
        <v>63</v>
      </c>
      <c r="N18" s="1" t="s">
        <v>95</v>
      </c>
      <c r="O18" s="1" t="s">
        <v>65</v>
      </c>
      <c r="P18" s="2">
        <v>51</v>
      </c>
      <c r="Q18" s="2">
        <v>1</v>
      </c>
      <c r="R18" s="2">
        <v>0</v>
      </c>
      <c r="S18" s="2">
        <v>51</v>
      </c>
      <c r="T18" s="2">
        <v>0</v>
      </c>
      <c r="U18" s="2">
        <v>51</v>
      </c>
      <c r="V18" s="2">
        <v>2</v>
      </c>
      <c r="W18" s="2">
        <v>0</v>
      </c>
      <c r="X18" s="3">
        <v>177.22000122070312</v>
      </c>
      <c r="Y18" s="2">
        <v>27</v>
      </c>
      <c r="Z18" s="2">
        <v>0</v>
      </c>
      <c r="AA18" s="2">
        <v>1404</v>
      </c>
      <c r="AB18" s="2">
        <v>65</v>
      </c>
      <c r="AC18" s="2">
        <v>0</v>
      </c>
      <c r="AD18" s="2">
        <v>0</v>
      </c>
      <c r="AE18" s="2">
        <v>798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3">
        <v>16.711555480957031</v>
      </c>
      <c r="AN18" s="2">
        <v>0</v>
      </c>
      <c r="AO18" s="2">
        <v>0</v>
      </c>
      <c r="AP18" s="2">
        <v>0</v>
      </c>
      <c r="AQ18" s="1" t="s">
        <v>66</v>
      </c>
      <c r="AR18" s="2">
        <v>0</v>
      </c>
      <c r="AS18" s="1" t="s">
        <v>66</v>
      </c>
      <c r="AT18" s="2">
        <v>2267</v>
      </c>
      <c r="AU18" s="2">
        <v>863</v>
      </c>
      <c r="AV18" s="2">
        <v>2267</v>
      </c>
      <c r="AW18" s="2">
        <v>2267</v>
      </c>
      <c r="AX18" s="2">
        <v>2267</v>
      </c>
      <c r="AY18" s="3">
        <v>112.32000000000001</v>
      </c>
      <c r="AZ18" s="3">
        <v>2379.3200000000002</v>
      </c>
      <c r="BA18" s="2">
        <v>0</v>
      </c>
      <c r="BB18" s="3">
        <v>428.27760000000001</v>
      </c>
      <c r="BC18" s="3">
        <v>2807.5976000000001</v>
      </c>
    </row>
    <row r="19" spans="1:55">
      <c r="A19" s="2">
        <v>2025</v>
      </c>
      <c r="B19" s="2">
        <v>5</v>
      </c>
      <c r="C19" s="2">
        <v>3</v>
      </c>
      <c r="D19" s="2">
        <v>763173</v>
      </c>
      <c r="E19" s="1" t="s">
        <v>97</v>
      </c>
      <c r="F19" s="1" t="s">
        <v>56</v>
      </c>
      <c r="G19" s="1" t="s">
        <v>57</v>
      </c>
      <c r="H19" s="1" t="s">
        <v>58</v>
      </c>
      <c r="I19" s="1" t="s">
        <v>94</v>
      </c>
      <c r="J19" s="1" t="s">
        <v>60</v>
      </c>
      <c r="K19" s="1" t="s">
        <v>61</v>
      </c>
      <c r="L19" s="1" t="s">
        <v>62</v>
      </c>
      <c r="M19" s="1" t="s">
        <v>63</v>
      </c>
      <c r="N19" s="1" t="s">
        <v>95</v>
      </c>
      <c r="O19" s="1" t="s">
        <v>65</v>
      </c>
      <c r="P19" s="2">
        <v>47</v>
      </c>
      <c r="Q19" s="2">
        <v>2</v>
      </c>
      <c r="R19" s="2">
        <v>0</v>
      </c>
      <c r="S19" s="2">
        <v>42</v>
      </c>
      <c r="T19" s="2">
        <v>5</v>
      </c>
      <c r="U19" s="2">
        <v>47</v>
      </c>
      <c r="V19" s="2">
        <v>5</v>
      </c>
      <c r="W19" s="2">
        <v>0</v>
      </c>
      <c r="X19" s="3">
        <v>139.58999633789063</v>
      </c>
      <c r="Y19" s="2">
        <v>54</v>
      </c>
      <c r="Z19" s="2">
        <v>0</v>
      </c>
      <c r="AA19" s="2">
        <v>1323</v>
      </c>
      <c r="AB19" s="2">
        <v>55</v>
      </c>
      <c r="AC19" s="2">
        <v>0</v>
      </c>
      <c r="AD19" s="2">
        <v>0</v>
      </c>
      <c r="AE19" s="2">
        <v>195</v>
      </c>
      <c r="AF19" s="2">
        <v>0</v>
      </c>
      <c r="AG19" s="2">
        <v>0</v>
      </c>
      <c r="AH19" s="2">
        <v>0</v>
      </c>
      <c r="AI19" s="2">
        <v>18</v>
      </c>
      <c r="AJ19" s="2">
        <v>0</v>
      </c>
      <c r="AK19" s="2">
        <v>0</v>
      </c>
      <c r="AL19" s="2">
        <v>0</v>
      </c>
      <c r="AM19" s="3">
        <v>16.92277717590332</v>
      </c>
      <c r="AN19" s="2">
        <v>0</v>
      </c>
      <c r="AO19" s="2">
        <v>0</v>
      </c>
      <c r="AP19" s="2">
        <v>0</v>
      </c>
      <c r="AQ19" s="1" t="s">
        <v>66</v>
      </c>
      <c r="AR19" s="2">
        <v>0</v>
      </c>
      <c r="AS19" s="1" t="s">
        <v>66</v>
      </c>
      <c r="AT19" s="2">
        <v>1591</v>
      </c>
      <c r="AU19" s="2">
        <v>268</v>
      </c>
      <c r="AV19" s="2">
        <v>1591</v>
      </c>
      <c r="AW19" s="2">
        <v>1591</v>
      </c>
      <c r="AX19" s="2">
        <v>1591</v>
      </c>
      <c r="AY19" s="3">
        <v>105.84</v>
      </c>
      <c r="AZ19" s="3">
        <v>1696.84</v>
      </c>
      <c r="BA19" s="2">
        <v>0</v>
      </c>
      <c r="BB19" s="3">
        <v>305.43119999999999</v>
      </c>
      <c r="BC19" s="3">
        <v>2002.2711999999999</v>
      </c>
    </row>
    <row r="20" spans="1:55">
      <c r="A20" s="2">
        <v>2025</v>
      </c>
      <c r="B20" s="2">
        <v>5</v>
      </c>
      <c r="C20" s="2">
        <v>3</v>
      </c>
      <c r="D20" s="2">
        <v>780996</v>
      </c>
      <c r="E20" s="1" t="s">
        <v>98</v>
      </c>
      <c r="F20" s="1" t="s">
        <v>56</v>
      </c>
      <c r="G20" s="1" t="s">
        <v>57</v>
      </c>
      <c r="H20" s="1" t="s">
        <v>58</v>
      </c>
      <c r="I20" s="1" t="s">
        <v>99</v>
      </c>
      <c r="J20" s="1" t="s">
        <v>60</v>
      </c>
      <c r="K20" s="1" t="s">
        <v>61</v>
      </c>
      <c r="L20" s="1" t="s">
        <v>62</v>
      </c>
      <c r="M20" s="1" t="s">
        <v>63</v>
      </c>
      <c r="N20" s="1" t="s">
        <v>100</v>
      </c>
      <c r="O20" s="1" t="s">
        <v>65</v>
      </c>
      <c r="P20" s="2">
        <v>10</v>
      </c>
      <c r="Q20" s="2">
        <v>0</v>
      </c>
      <c r="R20" s="2">
        <v>0</v>
      </c>
      <c r="S20" s="2">
        <v>9</v>
      </c>
      <c r="T20" s="2">
        <v>1</v>
      </c>
      <c r="U20" s="2">
        <v>10</v>
      </c>
      <c r="V20" s="2">
        <v>3</v>
      </c>
      <c r="W20" s="2">
        <v>0</v>
      </c>
      <c r="X20" s="3">
        <v>94.120002746582031</v>
      </c>
      <c r="Y20" s="2">
        <v>0</v>
      </c>
      <c r="Z20" s="2">
        <v>0</v>
      </c>
      <c r="AA20" s="2">
        <v>270</v>
      </c>
      <c r="AB20" s="2">
        <v>5</v>
      </c>
      <c r="AC20" s="2">
        <v>25</v>
      </c>
      <c r="AD20" s="3">
        <v>148.6199951171875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3">
        <v>6.5561108589172363</v>
      </c>
      <c r="AN20" s="2">
        <v>0</v>
      </c>
      <c r="AO20" s="2">
        <v>0</v>
      </c>
      <c r="AP20" s="2">
        <v>0</v>
      </c>
      <c r="AQ20" s="1" t="s">
        <v>66</v>
      </c>
      <c r="AR20" s="2">
        <v>20</v>
      </c>
      <c r="AS20" s="1" t="s">
        <v>101</v>
      </c>
      <c r="AT20" s="3">
        <v>451.6199951171875</v>
      </c>
      <c r="AU20" s="3">
        <v>181.6199951171875</v>
      </c>
      <c r="AV20" s="3">
        <v>451.6199951171875</v>
      </c>
      <c r="AW20" s="3">
        <v>451.6199951171875</v>
      </c>
      <c r="AX20" s="3">
        <v>431.6199951171875</v>
      </c>
      <c r="AY20" s="3">
        <v>21.6</v>
      </c>
      <c r="AZ20" s="3">
        <v>453.21999511718752</v>
      </c>
      <c r="BA20" s="2">
        <v>0</v>
      </c>
      <c r="BB20" s="3">
        <v>81.57959912109375</v>
      </c>
      <c r="BC20" s="3">
        <v>534.79959423828132</v>
      </c>
    </row>
    <row r="21" spans="1:55">
      <c r="A21" s="2">
        <v>2025</v>
      </c>
      <c r="B21" s="2">
        <v>5</v>
      </c>
      <c r="C21" s="2">
        <v>3</v>
      </c>
      <c r="D21" s="2">
        <v>789253</v>
      </c>
      <c r="E21" s="1" t="s">
        <v>102</v>
      </c>
      <c r="F21" s="1" t="s">
        <v>56</v>
      </c>
      <c r="G21" s="1" t="s">
        <v>57</v>
      </c>
      <c r="H21" s="1" t="s">
        <v>58</v>
      </c>
      <c r="I21" s="1" t="s">
        <v>103</v>
      </c>
      <c r="J21" s="1" t="s">
        <v>60</v>
      </c>
      <c r="K21" s="1" t="s">
        <v>61</v>
      </c>
      <c r="L21" s="1" t="s">
        <v>62</v>
      </c>
      <c r="M21" s="1" t="s">
        <v>63</v>
      </c>
      <c r="N21" s="1" t="s">
        <v>104</v>
      </c>
      <c r="O21" s="1" t="s">
        <v>65</v>
      </c>
      <c r="P21" s="2">
        <v>14</v>
      </c>
      <c r="Q21" s="2">
        <v>0</v>
      </c>
      <c r="R21" s="2">
        <v>0</v>
      </c>
      <c r="S21" s="2">
        <v>0</v>
      </c>
      <c r="T21" s="2">
        <v>14</v>
      </c>
      <c r="U21" s="2">
        <v>14</v>
      </c>
      <c r="V21" s="2">
        <v>1</v>
      </c>
      <c r="W21" s="2">
        <v>0</v>
      </c>
      <c r="X21" s="3">
        <v>129.50999450683594</v>
      </c>
      <c r="Y21" s="2">
        <v>0</v>
      </c>
      <c r="Z21" s="2">
        <v>0</v>
      </c>
      <c r="AA21" s="2">
        <v>378</v>
      </c>
      <c r="AB21" s="2">
        <v>0</v>
      </c>
      <c r="AC21" s="2">
        <v>15</v>
      </c>
      <c r="AD21" s="3">
        <v>341.70001220703125</v>
      </c>
      <c r="AE21" s="2">
        <v>70</v>
      </c>
      <c r="AF21" s="2">
        <v>0</v>
      </c>
      <c r="AG21" s="2">
        <v>0</v>
      </c>
      <c r="AH21" s="2">
        <v>0</v>
      </c>
      <c r="AI21" s="2">
        <v>42</v>
      </c>
      <c r="AJ21" s="2">
        <v>0</v>
      </c>
      <c r="AK21" s="2">
        <v>0</v>
      </c>
      <c r="AL21" s="2">
        <v>0</v>
      </c>
      <c r="AM21" s="3">
        <v>7.9483332633972168</v>
      </c>
      <c r="AN21" s="2">
        <v>0</v>
      </c>
      <c r="AO21" s="2">
        <v>0</v>
      </c>
      <c r="AP21" s="2">
        <v>0</v>
      </c>
      <c r="AQ21" s="1" t="s">
        <v>66</v>
      </c>
      <c r="AR21" s="2">
        <v>0</v>
      </c>
      <c r="AS21" s="1" t="s">
        <v>66</v>
      </c>
      <c r="AT21" s="3">
        <v>846.70001220703125</v>
      </c>
      <c r="AU21" s="3">
        <v>468.70001220703125</v>
      </c>
      <c r="AV21" s="3">
        <v>846.70001220703125</v>
      </c>
      <c r="AW21" s="3">
        <v>846.70001220703125</v>
      </c>
      <c r="AX21" s="3">
        <v>846.70001220703125</v>
      </c>
      <c r="AY21" s="3">
        <v>30.240000000000002</v>
      </c>
      <c r="AZ21" s="3">
        <v>876.94001220703126</v>
      </c>
      <c r="BA21" s="2">
        <v>0</v>
      </c>
      <c r="BB21" s="3">
        <v>157.84920219726561</v>
      </c>
      <c r="BC21" s="3">
        <v>1034.7892144042969</v>
      </c>
    </row>
    <row r="22" spans="1:55">
      <c r="A22" s="2">
        <v>2025</v>
      </c>
      <c r="B22" s="2">
        <v>5</v>
      </c>
      <c r="C22" s="2">
        <v>3</v>
      </c>
      <c r="D22" s="2">
        <v>756144</v>
      </c>
      <c r="E22" s="1" t="s">
        <v>105</v>
      </c>
      <c r="F22" s="1" t="s">
        <v>56</v>
      </c>
      <c r="G22" s="1" t="s">
        <v>69</v>
      </c>
      <c r="H22" s="1" t="s">
        <v>58</v>
      </c>
      <c r="I22" s="1" t="s">
        <v>106</v>
      </c>
      <c r="J22" s="1" t="s">
        <v>60</v>
      </c>
      <c r="K22" s="1" t="s">
        <v>61</v>
      </c>
      <c r="L22" s="1" t="s">
        <v>62</v>
      </c>
      <c r="M22" s="1" t="s">
        <v>63</v>
      </c>
      <c r="N22" s="1" t="s">
        <v>107</v>
      </c>
      <c r="O22" s="1" t="s">
        <v>65</v>
      </c>
      <c r="P22" s="2">
        <v>98</v>
      </c>
      <c r="Q22" s="2">
        <v>2</v>
      </c>
      <c r="R22" s="2">
        <v>0</v>
      </c>
      <c r="S22" s="2">
        <v>61</v>
      </c>
      <c r="T22" s="2">
        <v>37</v>
      </c>
      <c r="U22" s="2">
        <v>98</v>
      </c>
      <c r="V22" s="2">
        <v>6</v>
      </c>
      <c r="W22" s="2">
        <v>0</v>
      </c>
      <c r="X22" s="3">
        <v>652.75</v>
      </c>
      <c r="Y22" s="2">
        <v>60</v>
      </c>
      <c r="Z22" s="2">
        <v>0</v>
      </c>
      <c r="AA22" s="2">
        <v>3000</v>
      </c>
      <c r="AB22" s="2">
        <v>10</v>
      </c>
      <c r="AC22" s="2">
        <v>0</v>
      </c>
      <c r="AD22" s="3">
        <v>728.719970703125</v>
      </c>
      <c r="AE22" s="2">
        <v>1096</v>
      </c>
      <c r="AF22" s="2">
        <v>0</v>
      </c>
      <c r="AG22" s="2">
        <v>0</v>
      </c>
      <c r="AH22" s="2">
        <v>30</v>
      </c>
      <c r="AI22" s="2">
        <v>114</v>
      </c>
      <c r="AJ22" s="2">
        <v>0</v>
      </c>
      <c r="AK22" s="2">
        <v>0</v>
      </c>
      <c r="AL22" s="2">
        <v>0</v>
      </c>
      <c r="AM22" s="3">
        <v>46.302055358886719</v>
      </c>
      <c r="AN22" s="2">
        <v>0</v>
      </c>
      <c r="AO22" s="2">
        <v>0</v>
      </c>
      <c r="AP22" s="2">
        <v>0</v>
      </c>
      <c r="AQ22" s="1" t="s">
        <v>66</v>
      </c>
      <c r="AR22" s="2">
        <v>0</v>
      </c>
      <c r="AS22" s="1" t="s">
        <v>66</v>
      </c>
      <c r="AT22" s="3">
        <v>4978.72021484375</v>
      </c>
      <c r="AU22" s="3">
        <v>1978.719970703125</v>
      </c>
      <c r="AV22" s="3">
        <v>4978.72021484375</v>
      </c>
      <c r="AW22" s="3">
        <v>4978.72021484375</v>
      </c>
      <c r="AX22" s="3">
        <v>4978.72021484375</v>
      </c>
      <c r="AY22" s="3">
        <v>240</v>
      </c>
      <c r="AZ22" s="3">
        <v>5218.72021484375</v>
      </c>
      <c r="BA22" s="2">
        <v>0</v>
      </c>
      <c r="BB22" s="3">
        <v>939.36963867187501</v>
      </c>
      <c r="BC22" s="3">
        <v>6158.0898535156248</v>
      </c>
    </row>
    <row r="23" spans="1:55">
      <c r="A23" s="2">
        <v>2025</v>
      </c>
      <c r="B23" s="2">
        <v>5</v>
      </c>
      <c r="C23" s="2">
        <v>3</v>
      </c>
      <c r="D23" s="2">
        <v>786490</v>
      </c>
      <c r="E23" s="1" t="s">
        <v>108</v>
      </c>
      <c r="F23" s="1" t="s">
        <v>56</v>
      </c>
      <c r="G23" s="1" t="s">
        <v>109</v>
      </c>
      <c r="H23" s="1" t="s">
        <v>58</v>
      </c>
      <c r="I23" s="1" t="s">
        <v>106</v>
      </c>
      <c r="J23" s="1" t="s">
        <v>60</v>
      </c>
      <c r="K23" s="1" t="s">
        <v>61</v>
      </c>
      <c r="L23" s="1" t="s">
        <v>62</v>
      </c>
      <c r="M23" s="1" t="s">
        <v>63</v>
      </c>
      <c r="N23" s="1" t="s">
        <v>110</v>
      </c>
      <c r="O23" s="1" t="s">
        <v>65</v>
      </c>
      <c r="P23" s="2">
        <v>170</v>
      </c>
      <c r="Q23" s="2">
        <v>3</v>
      </c>
      <c r="R23" s="2">
        <v>0</v>
      </c>
      <c r="S23" s="2">
        <v>127</v>
      </c>
      <c r="T23" s="2">
        <v>43</v>
      </c>
      <c r="U23" s="2">
        <v>170</v>
      </c>
      <c r="V23" s="2">
        <v>7</v>
      </c>
      <c r="W23" s="2">
        <v>0</v>
      </c>
      <c r="X23" s="3">
        <v>1132.300048828125</v>
      </c>
      <c r="Y23" s="2">
        <v>81</v>
      </c>
      <c r="Z23" s="2">
        <v>0</v>
      </c>
      <c r="AA23" s="2">
        <v>4671</v>
      </c>
      <c r="AB23" s="2">
        <v>40</v>
      </c>
      <c r="AC23" s="2">
        <v>140</v>
      </c>
      <c r="AD23" s="3">
        <v>1311.3399658203125</v>
      </c>
      <c r="AE23" s="2">
        <v>2355</v>
      </c>
      <c r="AF23" s="2">
        <v>0</v>
      </c>
      <c r="AG23" s="2">
        <v>0</v>
      </c>
      <c r="AH23" s="2">
        <v>0</v>
      </c>
      <c r="AI23" s="2">
        <v>132</v>
      </c>
      <c r="AJ23" s="2">
        <v>0</v>
      </c>
      <c r="AK23" s="2">
        <v>500</v>
      </c>
      <c r="AL23" s="2">
        <v>0</v>
      </c>
      <c r="AM23" s="2">
        <v>63</v>
      </c>
      <c r="AN23" s="2">
        <v>0</v>
      </c>
      <c r="AO23" s="2">
        <v>0</v>
      </c>
      <c r="AP23" s="2">
        <v>0</v>
      </c>
      <c r="AQ23" s="1" t="s">
        <v>66</v>
      </c>
      <c r="AR23" s="2">
        <v>0</v>
      </c>
      <c r="AS23" s="1" t="s">
        <v>66</v>
      </c>
      <c r="AT23" s="3">
        <v>9149.33984375</v>
      </c>
      <c r="AU23" s="3">
        <v>4478.33984375</v>
      </c>
      <c r="AV23" s="3">
        <v>9149.33984375</v>
      </c>
      <c r="AW23" s="3">
        <v>9149.33984375</v>
      </c>
      <c r="AX23" s="3">
        <v>9149.33984375</v>
      </c>
      <c r="AY23" s="3">
        <v>373.68</v>
      </c>
      <c r="AZ23" s="3">
        <v>9523.0198437500003</v>
      </c>
      <c r="BA23" s="2">
        <v>0</v>
      </c>
      <c r="BB23" s="3">
        <v>1714.1435718749999</v>
      </c>
      <c r="BC23" s="3">
        <v>11237.163415625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L6" sqref="L6"/>
    </sheetView>
  </sheetViews>
  <sheetFormatPr defaultRowHeight="14.25"/>
  <cols>
    <col min="1" max="1" width="6.875" bestFit="1" customWidth="1"/>
    <col min="2" max="2" width="38" customWidth="1"/>
    <col min="3" max="3" width="8.75" customWidth="1"/>
    <col min="4" max="4" width="13.625" customWidth="1"/>
  </cols>
  <sheetData>
    <row r="1" spans="1:11" ht="27.75" customHeight="1">
      <c r="A1" s="4" t="s">
        <v>3</v>
      </c>
      <c r="B1" s="4" t="s">
        <v>4</v>
      </c>
      <c r="C1" s="5" t="s">
        <v>15</v>
      </c>
      <c r="D1" s="5" t="s">
        <v>49</v>
      </c>
      <c r="E1" s="6" t="s">
        <v>111</v>
      </c>
      <c r="F1" s="6" t="s">
        <v>112</v>
      </c>
      <c r="G1" s="6" t="s">
        <v>113</v>
      </c>
      <c r="H1" s="6" t="s">
        <v>114</v>
      </c>
      <c r="I1" s="6"/>
      <c r="J1" s="6"/>
      <c r="K1" s="6"/>
    </row>
    <row r="2" spans="1:11">
      <c r="A2" s="6">
        <v>735193</v>
      </c>
      <c r="B2" s="6" t="s">
        <v>55</v>
      </c>
      <c r="C2" s="6">
        <v>24</v>
      </c>
      <c r="D2" s="7">
        <v>956</v>
      </c>
      <c r="E2" s="6">
        <v>1540</v>
      </c>
      <c r="F2" s="6">
        <v>0</v>
      </c>
      <c r="G2" s="6">
        <v>0</v>
      </c>
      <c r="H2" s="8">
        <f>D2-E2-F2-G2</f>
        <v>-584</v>
      </c>
      <c r="I2" s="6"/>
      <c r="J2" s="6"/>
      <c r="K2" s="6"/>
    </row>
    <row r="3" spans="1:11">
      <c r="A3" s="6">
        <v>744645</v>
      </c>
      <c r="B3" s="6" t="s">
        <v>67</v>
      </c>
      <c r="C3" s="6">
        <v>70</v>
      </c>
      <c r="D3" s="7">
        <v>2738</v>
      </c>
      <c r="E3" s="6">
        <v>1320</v>
      </c>
      <c r="F3" s="6">
        <v>0</v>
      </c>
      <c r="G3" s="6">
        <v>997</v>
      </c>
      <c r="H3" s="8">
        <f t="shared" ref="H3:H23" si="0">D3-E3-F3-G3</f>
        <v>421</v>
      </c>
      <c r="I3" s="6"/>
      <c r="J3" s="6"/>
      <c r="K3" s="6"/>
    </row>
    <row r="4" spans="1:11">
      <c r="A4" s="6">
        <v>746897</v>
      </c>
      <c r="B4" s="6" t="s">
        <v>68</v>
      </c>
      <c r="C4" s="6">
        <v>64</v>
      </c>
      <c r="D4" s="7">
        <v>2549</v>
      </c>
      <c r="E4" s="6">
        <v>1540</v>
      </c>
      <c r="F4" s="6">
        <v>0</v>
      </c>
      <c r="G4" s="6">
        <v>910</v>
      </c>
      <c r="H4" s="8">
        <f t="shared" si="0"/>
        <v>99</v>
      </c>
      <c r="I4" s="6"/>
      <c r="J4" s="6"/>
      <c r="K4" s="6"/>
    </row>
    <row r="5" spans="1:11">
      <c r="A5" s="6">
        <v>753406</v>
      </c>
      <c r="B5" s="6" t="s">
        <v>71</v>
      </c>
      <c r="C5" s="6">
        <v>58</v>
      </c>
      <c r="D5" s="7">
        <v>2265</v>
      </c>
      <c r="E5" s="6">
        <v>1100</v>
      </c>
      <c r="F5" s="6">
        <v>0</v>
      </c>
      <c r="G5" s="6">
        <v>0</v>
      </c>
      <c r="H5" s="8">
        <f t="shared" si="0"/>
        <v>1165</v>
      </c>
      <c r="I5" s="6"/>
      <c r="J5" s="6"/>
      <c r="K5" s="6"/>
    </row>
    <row r="6" spans="1:11">
      <c r="A6" s="6">
        <v>753657</v>
      </c>
      <c r="B6" s="6" t="s">
        <v>72</v>
      </c>
      <c r="C6" s="6">
        <v>49</v>
      </c>
      <c r="D6" s="7">
        <v>1802</v>
      </c>
      <c r="E6" s="6">
        <v>0</v>
      </c>
      <c r="F6" s="6">
        <v>0</v>
      </c>
      <c r="G6" s="6">
        <v>0</v>
      </c>
      <c r="H6" s="8">
        <f t="shared" si="0"/>
        <v>1802</v>
      </c>
      <c r="I6" s="6"/>
      <c r="J6" s="6"/>
      <c r="K6" s="6"/>
    </row>
    <row r="7" spans="1:11">
      <c r="A7" s="6">
        <v>754583</v>
      </c>
      <c r="B7" s="6" t="s">
        <v>74</v>
      </c>
      <c r="C7" s="6">
        <v>5</v>
      </c>
      <c r="D7" s="7">
        <v>135</v>
      </c>
      <c r="E7" s="6">
        <v>0</v>
      </c>
      <c r="F7" s="6">
        <v>0</v>
      </c>
      <c r="G7" s="6">
        <v>0</v>
      </c>
      <c r="H7" s="8">
        <f t="shared" si="0"/>
        <v>135</v>
      </c>
      <c r="I7" s="6"/>
      <c r="J7" s="6"/>
      <c r="K7" s="6"/>
    </row>
    <row r="8" spans="1:11">
      <c r="A8" s="6">
        <v>754742</v>
      </c>
      <c r="B8" s="6" t="s">
        <v>75</v>
      </c>
      <c r="C8" s="6">
        <v>26</v>
      </c>
      <c r="D8" s="7">
        <v>1018</v>
      </c>
      <c r="E8" s="6">
        <v>1100</v>
      </c>
      <c r="F8" s="6">
        <v>0</v>
      </c>
      <c r="G8" s="6">
        <v>0</v>
      </c>
      <c r="H8" s="8">
        <f t="shared" si="0"/>
        <v>-82</v>
      </c>
      <c r="I8" s="6"/>
      <c r="J8" s="6"/>
      <c r="K8" s="6"/>
    </row>
    <row r="9" spans="1:11">
      <c r="A9" s="6">
        <v>755539</v>
      </c>
      <c r="B9" s="6" t="s">
        <v>76</v>
      </c>
      <c r="C9" s="6">
        <v>7</v>
      </c>
      <c r="D9" s="7">
        <v>240</v>
      </c>
      <c r="E9" s="6">
        <v>220</v>
      </c>
      <c r="F9" s="6">
        <v>0</v>
      </c>
      <c r="G9" s="6">
        <v>0</v>
      </c>
      <c r="H9" s="8">
        <f t="shared" si="0"/>
        <v>20</v>
      </c>
      <c r="I9" s="6"/>
      <c r="J9" s="6"/>
      <c r="K9" s="6"/>
    </row>
    <row r="10" spans="1:11">
      <c r="A10" s="6">
        <v>784832</v>
      </c>
      <c r="B10" s="6" t="s">
        <v>77</v>
      </c>
      <c r="C10" s="6">
        <v>140</v>
      </c>
      <c r="D10" s="9">
        <v>7326.5</v>
      </c>
      <c r="E10" s="6">
        <v>1540</v>
      </c>
      <c r="F10" s="6">
        <v>0</v>
      </c>
      <c r="G10" s="6">
        <v>0</v>
      </c>
      <c r="H10" s="8">
        <f t="shared" si="0"/>
        <v>5786.5</v>
      </c>
      <c r="I10" s="6"/>
      <c r="J10" s="6"/>
      <c r="K10" s="6"/>
    </row>
    <row r="11" spans="1:11">
      <c r="A11" s="6">
        <v>791546</v>
      </c>
      <c r="B11" s="6" t="s">
        <v>79</v>
      </c>
      <c r="C11" s="6">
        <v>7</v>
      </c>
      <c r="D11" s="7">
        <v>189</v>
      </c>
      <c r="E11" s="6">
        <v>0</v>
      </c>
      <c r="F11" s="6">
        <v>0</v>
      </c>
      <c r="G11" s="6">
        <v>0</v>
      </c>
      <c r="H11" s="8">
        <f t="shared" si="0"/>
        <v>189</v>
      </c>
      <c r="I11" s="6"/>
      <c r="J11" s="6"/>
      <c r="K11" s="6"/>
    </row>
    <row r="12" spans="1:11">
      <c r="A12" s="6">
        <v>738700</v>
      </c>
      <c r="B12" s="6" t="s">
        <v>80</v>
      </c>
      <c r="C12" s="6">
        <v>149</v>
      </c>
      <c r="D12" s="7">
        <v>7618</v>
      </c>
      <c r="E12" s="6">
        <v>0</v>
      </c>
      <c r="F12" s="6">
        <v>0</v>
      </c>
      <c r="G12" s="6">
        <v>0</v>
      </c>
      <c r="H12" s="8">
        <f t="shared" si="0"/>
        <v>7618</v>
      </c>
      <c r="I12" s="6"/>
      <c r="J12" s="6"/>
      <c r="K12" s="6"/>
    </row>
    <row r="13" spans="1:11">
      <c r="A13" s="6">
        <v>739946</v>
      </c>
      <c r="B13" s="6" t="s">
        <v>83</v>
      </c>
      <c r="C13" s="6">
        <v>5</v>
      </c>
      <c r="D13" s="7">
        <v>170</v>
      </c>
      <c r="E13" s="6">
        <v>0</v>
      </c>
      <c r="F13" s="6">
        <v>0</v>
      </c>
      <c r="G13" s="6">
        <v>0</v>
      </c>
      <c r="H13" s="8">
        <f t="shared" si="0"/>
        <v>170</v>
      </c>
      <c r="I13" s="6"/>
      <c r="J13" s="6"/>
      <c r="K13" s="6"/>
    </row>
    <row r="14" spans="1:11">
      <c r="A14" s="6">
        <v>741275</v>
      </c>
      <c r="B14" s="6" t="s">
        <v>85</v>
      </c>
      <c r="C14" s="6">
        <v>180</v>
      </c>
      <c r="D14" s="9">
        <v>13387.6796875</v>
      </c>
      <c r="E14" s="6">
        <v>1540</v>
      </c>
      <c r="F14" s="6">
        <v>0</v>
      </c>
      <c r="G14" s="6">
        <v>0</v>
      </c>
      <c r="H14" s="8">
        <f t="shared" si="0"/>
        <v>11847.6796875</v>
      </c>
      <c r="I14" s="6"/>
      <c r="J14" s="6"/>
      <c r="K14" s="6"/>
    </row>
    <row r="15" spans="1:11">
      <c r="A15" s="6">
        <v>784299</v>
      </c>
      <c r="B15" s="6" t="s">
        <v>88</v>
      </c>
      <c r="C15" s="6">
        <v>121</v>
      </c>
      <c r="D15" s="7">
        <v>6213</v>
      </c>
      <c r="E15" s="6">
        <v>1540</v>
      </c>
      <c r="F15" s="6">
        <v>0</v>
      </c>
      <c r="G15" s="6">
        <v>0</v>
      </c>
      <c r="H15" s="8">
        <f t="shared" si="0"/>
        <v>4673</v>
      </c>
      <c r="I15" s="6"/>
      <c r="J15" s="6"/>
      <c r="K15" s="6"/>
    </row>
    <row r="16" spans="1:11">
      <c r="A16" s="6">
        <v>787959</v>
      </c>
      <c r="B16" s="6" t="s">
        <v>92</v>
      </c>
      <c r="C16" s="6">
        <v>31</v>
      </c>
      <c r="D16" s="7">
        <v>1092</v>
      </c>
      <c r="E16" s="6">
        <v>1100</v>
      </c>
      <c r="F16" s="6">
        <v>0</v>
      </c>
      <c r="G16" s="6">
        <v>0</v>
      </c>
      <c r="H16" s="8">
        <f t="shared" si="0"/>
        <v>-8</v>
      </c>
      <c r="I16" s="6"/>
      <c r="J16" s="6"/>
      <c r="K16" s="6"/>
    </row>
    <row r="17" spans="1:11">
      <c r="A17" s="6">
        <v>754658</v>
      </c>
      <c r="B17" s="6" t="s">
        <v>93</v>
      </c>
      <c r="C17" s="6">
        <v>36</v>
      </c>
      <c r="D17" s="7">
        <v>1431</v>
      </c>
      <c r="E17" s="6">
        <v>1320</v>
      </c>
      <c r="F17" s="6">
        <v>0</v>
      </c>
      <c r="G17" s="6">
        <v>0</v>
      </c>
      <c r="H17" s="8">
        <f t="shared" si="0"/>
        <v>111</v>
      </c>
      <c r="I17" s="6"/>
      <c r="J17" s="6"/>
      <c r="K17" s="6"/>
    </row>
    <row r="18" spans="1:11">
      <c r="A18" s="6">
        <v>757911</v>
      </c>
      <c r="B18" s="6" t="s">
        <v>96</v>
      </c>
      <c r="C18" s="6">
        <v>51</v>
      </c>
      <c r="D18" s="7">
        <v>2267</v>
      </c>
      <c r="E18" s="6">
        <v>660</v>
      </c>
      <c r="F18" s="6">
        <v>0</v>
      </c>
      <c r="G18" s="6">
        <v>0</v>
      </c>
      <c r="H18" s="8">
        <f t="shared" si="0"/>
        <v>1607</v>
      </c>
      <c r="I18" s="6"/>
      <c r="J18" s="6"/>
      <c r="K18" s="6"/>
    </row>
    <row r="19" spans="1:11">
      <c r="A19" s="6">
        <v>763173</v>
      </c>
      <c r="B19" s="6" t="s">
        <v>97</v>
      </c>
      <c r="C19" s="6">
        <v>47</v>
      </c>
      <c r="D19" s="7">
        <v>1591</v>
      </c>
      <c r="E19" s="6">
        <v>1540</v>
      </c>
      <c r="F19" s="6">
        <v>0</v>
      </c>
      <c r="G19" s="6">
        <v>0</v>
      </c>
      <c r="H19" s="8">
        <f t="shared" si="0"/>
        <v>51</v>
      </c>
      <c r="I19" s="6"/>
      <c r="J19" s="6"/>
      <c r="K19" s="6"/>
    </row>
    <row r="20" spans="1:11">
      <c r="A20" s="6">
        <v>780996</v>
      </c>
      <c r="B20" s="6" t="s">
        <v>98</v>
      </c>
      <c r="C20" s="6">
        <v>10</v>
      </c>
      <c r="D20" s="9">
        <v>431.6199951171875</v>
      </c>
      <c r="E20" s="6">
        <v>440</v>
      </c>
      <c r="F20" s="6">
        <v>0</v>
      </c>
      <c r="G20" s="6">
        <v>0</v>
      </c>
      <c r="H20" s="8">
        <f t="shared" si="0"/>
        <v>-8.3800048828125</v>
      </c>
      <c r="I20" s="6"/>
      <c r="J20" s="6"/>
      <c r="K20" s="6"/>
    </row>
    <row r="21" spans="1:11">
      <c r="A21" s="6">
        <v>789253</v>
      </c>
      <c r="B21" s="6" t="s">
        <v>102</v>
      </c>
      <c r="C21" s="6">
        <v>14</v>
      </c>
      <c r="D21" s="9">
        <v>846.70001220703125</v>
      </c>
      <c r="E21" s="6">
        <v>880</v>
      </c>
      <c r="F21" s="6">
        <v>0</v>
      </c>
      <c r="G21" s="6">
        <v>0</v>
      </c>
      <c r="H21" s="8">
        <f t="shared" si="0"/>
        <v>-33.29998779296875</v>
      </c>
      <c r="I21" s="6"/>
      <c r="J21" s="6"/>
      <c r="K21" s="6"/>
    </row>
    <row r="22" spans="1:11">
      <c r="A22" s="6">
        <v>756144</v>
      </c>
      <c r="B22" s="6" t="s">
        <v>105</v>
      </c>
      <c r="C22" s="6">
        <v>98</v>
      </c>
      <c r="D22" s="9">
        <v>4978.72021484375</v>
      </c>
      <c r="E22" s="6">
        <v>1540</v>
      </c>
      <c r="F22" s="6">
        <v>0</v>
      </c>
      <c r="G22" s="6">
        <v>0</v>
      </c>
      <c r="H22" s="8">
        <f t="shared" si="0"/>
        <v>3438.72021484375</v>
      </c>
      <c r="I22" s="6"/>
      <c r="J22" s="6"/>
      <c r="K22" s="6"/>
    </row>
    <row r="23" spans="1:11">
      <c r="A23" s="6">
        <v>786490</v>
      </c>
      <c r="B23" s="6" t="s">
        <v>108</v>
      </c>
      <c r="C23" s="6">
        <v>170</v>
      </c>
      <c r="D23" s="9">
        <v>9149.33984375</v>
      </c>
      <c r="E23" s="6">
        <v>1540</v>
      </c>
      <c r="F23" s="6">
        <v>0</v>
      </c>
      <c r="G23" s="6">
        <v>0</v>
      </c>
      <c r="H23" s="8">
        <f t="shared" si="0"/>
        <v>7609.33984375</v>
      </c>
      <c r="I23" s="6"/>
      <c r="J23" s="6"/>
      <c r="K23" s="6"/>
    </row>
    <row r="26" spans="1:11">
      <c r="A26" s="10"/>
      <c r="B26" s="10" t="s">
        <v>141</v>
      </c>
      <c r="C26" s="10" t="s">
        <v>168</v>
      </c>
      <c r="D26" s="11" t="s">
        <v>142</v>
      </c>
      <c r="E26" s="16">
        <v>-584</v>
      </c>
      <c r="F26" s="10" t="s">
        <v>143</v>
      </c>
      <c r="G26" s="10" t="s">
        <v>144</v>
      </c>
      <c r="H26" s="10"/>
      <c r="I26" s="10"/>
    </row>
    <row r="27" spans="1:11">
      <c r="B27" s="10" t="s">
        <v>175</v>
      </c>
      <c r="C27" s="10" t="s">
        <v>168</v>
      </c>
      <c r="D27" s="11">
        <v>99980100005819</v>
      </c>
      <c r="E27" s="16">
        <v>-82</v>
      </c>
      <c r="F27" s="10" t="s">
        <v>176</v>
      </c>
      <c r="G27" s="10" t="s">
        <v>178</v>
      </c>
      <c r="I27" s="10"/>
    </row>
    <row r="28" spans="1:11">
      <c r="B28" s="10" t="s">
        <v>148</v>
      </c>
      <c r="C28" s="10" t="s">
        <v>168</v>
      </c>
      <c r="D28" s="11">
        <v>50100678757614</v>
      </c>
      <c r="E28" s="16">
        <v>20</v>
      </c>
      <c r="F28" s="10" t="s">
        <v>149</v>
      </c>
      <c r="G28" s="10" t="s">
        <v>150</v>
      </c>
      <c r="I28" s="10"/>
    </row>
    <row r="29" spans="1:11">
      <c r="B29" s="10" t="s">
        <v>79</v>
      </c>
      <c r="C29" s="10" t="s">
        <v>168</v>
      </c>
      <c r="D29" s="11"/>
      <c r="E29" s="16">
        <v>189</v>
      </c>
      <c r="F29" s="10"/>
      <c r="G29" s="10"/>
    </row>
    <row r="30" spans="1:11">
      <c r="B30" s="10" t="s">
        <v>124</v>
      </c>
      <c r="C30" s="10" t="s">
        <v>168</v>
      </c>
      <c r="D30" s="11"/>
      <c r="E30" s="16">
        <v>170</v>
      </c>
      <c r="F30" s="10"/>
      <c r="G30" s="10"/>
    </row>
    <row r="31" spans="1:11">
      <c r="B31" s="10" t="s">
        <v>137</v>
      </c>
      <c r="C31" s="10" t="s">
        <v>168</v>
      </c>
      <c r="D31" s="11" t="s">
        <v>138</v>
      </c>
      <c r="E31" s="16">
        <v>-8</v>
      </c>
      <c r="F31" s="10" t="s">
        <v>139</v>
      </c>
      <c r="G31" s="10" t="s">
        <v>140</v>
      </c>
    </row>
    <row r="32" spans="1:11">
      <c r="B32" s="10" t="s">
        <v>134</v>
      </c>
      <c r="C32" s="10" t="s">
        <v>168</v>
      </c>
      <c r="D32" s="11">
        <v>9348568340</v>
      </c>
      <c r="E32" s="16">
        <v>111</v>
      </c>
      <c r="F32" s="10" t="s">
        <v>135</v>
      </c>
      <c r="G32" s="10" t="s">
        <v>136</v>
      </c>
    </row>
    <row r="33" spans="2:7">
      <c r="B33" s="10" t="s">
        <v>159</v>
      </c>
      <c r="C33" s="10" t="s">
        <v>168</v>
      </c>
      <c r="D33" s="11">
        <v>548865079</v>
      </c>
      <c r="E33" s="16">
        <v>51</v>
      </c>
      <c r="F33" s="10" t="s">
        <v>160</v>
      </c>
      <c r="G33" s="10" t="s">
        <v>136</v>
      </c>
    </row>
    <row r="34" spans="2:7">
      <c r="B34" s="10" t="s">
        <v>125</v>
      </c>
      <c r="C34" s="10" t="s">
        <v>168</v>
      </c>
      <c r="D34" s="11" t="s">
        <v>126</v>
      </c>
      <c r="E34" s="16">
        <v>-8.3800048828125</v>
      </c>
      <c r="F34" s="10" t="s">
        <v>127</v>
      </c>
      <c r="G34" s="10" t="s">
        <v>128</v>
      </c>
    </row>
    <row r="35" spans="2:7">
      <c r="B35" s="10" t="s">
        <v>155</v>
      </c>
      <c r="C35" s="10" t="s">
        <v>168</v>
      </c>
      <c r="D35" s="11"/>
      <c r="E35" s="16">
        <v>-33.29998779296875</v>
      </c>
      <c r="F35" s="10"/>
      <c r="G3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2" sqref="D12:G12"/>
    </sheetView>
  </sheetViews>
  <sheetFormatPr defaultRowHeight="14.25"/>
  <cols>
    <col min="1" max="1" width="17.75" customWidth="1"/>
    <col min="2" max="2" width="24.375" bestFit="1" customWidth="1"/>
    <col min="3" max="3" width="10.125" bestFit="1" customWidth="1"/>
    <col min="4" max="4" width="17.125" bestFit="1" customWidth="1"/>
    <col min="5" max="5" width="10.5" customWidth="1"/>
    <col min="6" max="6" width="14.25" bestFit="1" customWidth="1"/>
    <col min="7" max="7" width="17.5" bestFit="1" customWidth="1"/>
    <col min="8" max="8" width="11.5" customWidth="1"/>
    <col min="9" max="9" width="11.625" customWidth="1"/>
  </cols>
  <sheetData>
    <row r="1" spans="1:9">
      <c r="A1" s="13" t="s">
        <v>115</v>
      </c>
      <c r="B1" s="13" t="s">
        <v>116</v>
      </c>
      <c r="C1" s="13" t="s">
        <v>117</v>
      </c>
      <c r="D1" s="13" t="s">
        <v>118</v>
      </c>
      <c r="E1" s="13" t="s">
        <v>119</v>
      </c>
      <c r="F1" s="13" t="s">
        <v>120</v>
      </c>
      <c r="G1" s="13" t="s">
        <v>121</v>
      </c>
      <c r="H1" s="13" t="s">
        <v>122</v>
      </c>
      <c r="I1" s="13" t="s">
        <v>123</v>
      </c>
    </row>
    <row r="2" spans="1:9">
      <c r="A2" s="10">
        <v>1</v>
      </c>
      <c r="B2" s="10" t="s">
        <v>129</v>
      </c>
      <c r="C2" s="10" t="s">
        <v>168</v>
      </c>
      <c r="D2" s="11">
        <v>32475540595</v>
      </c>
      <c r="E2" s="16">
        <v>421</v>
      </c>
      <c r="F2" s="10" t="s">
        <v>130</v>
      </c>
      <c r="G2" s="10" t="s">
        <v>131</v>
      </c>
      <c r="H2" s="10"/>
      <c r="I2" s="10"/>
    </row>
    <row r="3" spans="1:9">
      <c r="A3" s="10">
        <v>2</v>
      </c>
      <c r="B3" s="10" t="s">
        <v>132</v>
      </c>
      <c r="C3" s="10" t="s">
        <v>168</v>
      </c>
      <c r="D3" s="11">
        <v>160210510004919</v>
      </c>
      <c r="E3" s="16">
        <v>99</v>
      </c>
      <c r="F3" s="10" t="s">
        <v>133</v>
      </c>
      <c r="G3" s="10" t="s">
        <v>177</v>
      </c>
      <c r="H3" s="10"/>
      <c r="I3" s="10"/>
    </row>
    <row r="4" spans="1:9">
      <c r="A4" s="10">
        <v>3</v>
      </c>
      <c r="B4" s="10" t="s">
        <v>166</v>
      </c>
      <c r="C4" s="10" t="s">
        <v>168</v>
      </c>
      <c r="D4" s="11">
        <v>39321585102</v>
      </c>
      <c r="E4" s="16">
        <v>1165</v>
      </c>
      <c r="F4" s="10" t="s">
        <v>145</v>
      </c>
      <c r="G4" s="10" t="s">
        <v>131</v>
      </c>
      <c r="H4" s="10"/>
      <c r="I4" s="10"/>
    </row>
    <row r="5" spans="1:9">
      <c r="A5" s="10">
        <v>4</v>
      </c>
      <c r="B5" s="10" t="s">
        <v>167</v>
      </c>
      <c r="C5" s="10" t="s">
        <v>168</v>
      </c>
      <c r="D5" s="11">
        <v>34036723834</v>
      </c>
      <c r="E5" s="16">
        <v>1802</v>
      </c>
      <c r="F5" s="10" t="s">
        <v>169</v>
      </c>
      <c r="G5" s="10" t="s">
        <v>131</v>
      </c>
      <c r="H5" s="10">
        <v>7028523740</v>
      </c>
      <c r="I5" s="10"/>
    </row>
    <row r="6" spans="1:9">
      <c r="A6" s="10">
        <v>5</v>
      </c>
      <c r="B6" s="10" t="s">
        <v>146</v>
      </c>
      <c r="C6" s="10" t="s">
        <v>168</v>
      </c>
      <c r="D6" s="11">
        <v>7446480861</v>
      </c>
      <c r="E6" s="16">
        <v>135</v>
      </c>
      <c r="F6" s="10" t="s">
        <v>147</v>
      </c>
      <c r="G6" s="10" t="s">
        <v>136</v>
      </c>
      <c r="H6" s="10"/>
      <c r="I6" s="10"/>
    </row>
    <row r="7" spans="1:9">
      <c r="A7" s="10">
        <v>6</v>
      </c>
      <c r="B7" s="10" t="s">
        <v>170</v>
      </c>
      <c r="C7" s="10" t="s">
        <v>168</v>
      </c>
      <c r="D7" s="11" t="s">
        <v>171</v>
      </c>
      <c r="E7" s="16">
        <v>5786.5</v>
      </c>
      <c r="F7" s="10" t="s">
        <v>172</v>
      </c>
      <c r="G7" s="10" t="s">
        <v>140</v>
      </c>
      <c r="H7" s="10"/>
      <c r="I7" s="10"/>
    </row>
    <row r="8" spans="1:9">
      <c r="A8" s="10">
        <v>7</v>
      </c>
      <c r="B8" s="10" t="s">
        <v>173</v>
      </c>
      <c r="C8" s="10" t="s">
        <v>168</v>
      </c>
      <c r="D8" s="11">
        <v>68035888954</v>
      </c>
      <c r="E8" s="16">
        <v>7618</v>
      </c>
      <c r="F8" s="10" t="s">
        <v>174</v>
      </c>
      <c r="G8" s="10" t="s">
        <v>128</v>
      </c>
      <c r="H8" s="10"/>
      <c r="I8" s="10"/>
    </row>
    <row r="9" spans="1:9">
      <c r="A9" s="10">
        <v>8</v>
      </c>
      <c r="B9" s="10" t="s">
        <v>163</v>
      </c>
      <c r="C9" s="10" t="s">
        <v>168</v>
      </c>
      <c r="D9" s="11" t="s">
        <v>164</v>
      </c>
      <c r="E9" s="16">
        <v>11847.6796875</v>
      </c>
      <c r="F9" s="10" t="s">
        <v>165</v>
      </c>
      <c r="G9" s="10" t="s">
        <v>179</v>
      </c>
      <c r="H9" s="10"/>
      <c r="I9" s="10"/>
    </row>
    <row r="10" spans="1:9">
      <c r="A10" s="10">
        <v>9</v>
      </c>
      <c r="B10" s="10" t="s">
        <v>88</v>
      </c>
      <c r="C10" s="10" t="s">
        <v>168</v>
      </c>
      <c r="D10" s="11" t="s">
        <v>156</v>
      </c>
      <c r="E10" s="16">
        <v>4673</v>
      </c>
      <c r="F10" s="10" t="s">
        <v>157</v>
      </c>
      <c r="G10" s="10" t="s">
        <v>158</v>
      </c>
      <c r="H10" s="10"/>
      <c r="I10" s="10"/>
    </row>
    <row r="11" spans="1:9">
      <c r="A11" s="10">
        <v>10</v>
      </c>
      <c r="B11" s="10" t="s">
        <v>161</v>
      </c>
      <c r="C11" s="10" t="s">
        <v>168</v>
      </c>
      <c r="D11" s="11">
        <v>921010042861859</v>
      </c>
      <c r="E11" s="16">
        <v>1607</v>
      </c>
      <c r="F11" s="10" t="s">
        <v>162</v>
      </c>
      <c r="G11" s="10" t="s">
        <v>140</v>
      </c>
      <c r="H11" s="10"/>
      <c r="I11" s="10"/>
    </row>
    <row r="12" spans="1:9">
      <c r="A12" s="10">
        <v>11</v>
      </c>
      <c r="B12" s="10" t="s">
        <v>153</v>
      </c>
      <c r="C12" s="10" t="s">
        <v>168</v>
      </c>
      <c r="D12" s="11">
        <v>31194991598</v>
      </c>
      <c r="E12" s="16">
        <v>3438.72021484375</v>
      </c>
      <c r="F12" s="10" t="s">
        <v>154</v>
      </c>
      <c r="G12" s="10" t="s">
        <v>131</v>
      </c>
      <c r="H12" s="10"/>
      <c r="I12" s="10"/>
    </row>
    <row r="13" spans="1:9">
      <c r="A13" s="10">
        <v>12</v>
      </c>
      <c r="B13" s="14" t="s">
        <v>151</v>
      </c>
      <c r="C13" s="10" t="s">
        <v>168</v>
      </c>
      <c r="D13" s="12">
        <v>39489996935</v>
      </c>
      <c r="E13" s="16">
        <v>7609.33984375</v>
      </c>
      <c r="F13" s="14" t="s">
        <v>152</v>
      </c>
      <c r="G13" s="14" t="s">
        <v>131</v>
      </c>
      <c r="H13" s="15"/>
      <c r="I13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Sheet1</vt:lpstr>
      <vt:lpstr>Sheet2</vt:lpstr>
      <vt:lpstr>Bank File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2025-05-23T06:02:58Z</dcterms:created>
  <dcterms:modified xsi:type="dcterms:W3CDTF">2025-08-07T06:14:18Z</dcterms:modified>
</cp:coreProperties>
</file>