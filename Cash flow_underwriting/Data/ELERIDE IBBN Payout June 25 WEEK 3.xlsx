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BB_payment files\"/>
    </mc:Choice>
  </mc:AlternateContent>
  <bookViews>
    <workbookView xWindow="0" yWindow="0" windowWidth="20460" windowHeight="7380" activeTab="1"/>
  </bookViews>
  <sheets>
    <sheet name="Sheet3" sheetId="4" r:id="rId1"/>
    <sheet name="Sheet1" sheetId="1" r:id="rId2"/>
    <sheet name="Sheet2" sheetId="2" r:id="rId3"/>
    <sheet name="BANK FILE" sheetId="3" r:id="rId4"/>
  </sheets>
  <definedNames>
    <definedName name="_xlnm._FilterDatabase" localSheetId="2" hidden="1">Sheet2!$A$1:$J$22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" i="2"/>
  <c r="J2" i="2" s="1"/>
</calcChain>
</file>

<file path=xl/sharedStrings.xml><?xml version="1.0" encoding="utf-8"?>
<sst xmlns="http://schemas.openxmlformats.org/spreadsheetml/2006/main" count="514" uniqueCount="189">
  <si>
    <t>year</t>
  </si>
  <si>
    <t>month</t>
  </si>
  <si>
    <t>week</t>
  </si>
  <si>
    <t>cee_id</t>
  </si>
  <si>
    <t>cee_name</t>
  </si>
  <si>
    <t>cee_employment_category</t>
  </si>
  <si>
    <t>cee_category</t>
  </si>
  <si>
    <t>pan</t>
  </si>
  <si>
    <t>city</t>
  </si>
  <si>
    <t>store</t>
  </si>
  <si>
    <t>store_type</t>
  </si>
  <si>
    <t>lmd_provider</t>
  </si>
  <si>
    <t>MG STATUS</t>
  </si>
  <si>
    <t>delivery_mode</t>
  </si>
  <si>
    <t>rate_card_id</t>
  </si>
  <si>
    <t>settlement_frequency</t>
  </si>
  <si>
    <t>delivered_orders</t>
  </si>
  <si>
    <t>cancelled_orders</t>
  </si>
  <si>
    <t>pickup_orders</t>
  </si>
  <si>
    <t>weekday_orders</t>
  </si>
  <si>
    <t>weekend_orders</t>
  </si>
  <si>
    <t>incentivised_orders</t>
  </si>
  <si>
    <t>attendance</t>
  </si>
  <si>
    <t>month_attendance</t>
  </si>
  <si>
    <t>distance</t>
  </si>
  <si>
    <t>weekday_normal_order_payout</t>
  </si>
  <si>
    <t>cancelled_order_payout</t>
  </si>
  <si>
    <t>pickup_order_payout</t>
  </si>
  <si>
    <t>order_base_payout</t>
  </si>
  <si>
    <t>surge_payout</t>
  </si>
  <si>
    <t>peak_hour_payout</t>
  </si>
  <si>
    <t>peak_slot_payout</t>
  </si>
  <si>
    <t>order_distance_payout</t>
  </si>
  <si>
    <t>daily_distance_payout</t>
  </si>
  <si>
    <t>daily_order_payout</t>
  </si>
  <si>
    <t>weekly_order_payout</t>
  </si>
  <si>
    <t>monthly_order_payout</t>
  </si>
  <si>
    <t>weight_payout</t>
  </si>
  <si>
    <t>day_payout</t>
  </si>
  <si>
    <t>joining_bonus</t>
  </si>
  <si>
    <t>weekly_attendance_payout</t>
  </si>
  <si>
    <t>monthly_attendance_payout</t>
  </si>
  <si>
    <t>service_time</t>
  </si>
  <si>
    <t>minimum_guarantee</t>
  </si>
  <si>
    <t>mg_eligible_days</t>
  </si>
  <si>
    <t>arrears_amount</t>
  </si>
  <si>
    <t>arrears_reason</t>
  </si>
  <si>
    <t>deductions_amount</t>
  </si>
  <si>
    <t>deductions_reason</t>
  </si>
  <si>
    <t>base_pay</t>
  </si>
  <si>
    <t>incentive_total</t>
  </si>
  <si>
    <t>total_without_arrears</t>
  </si>
  <si>
    <t>total_with_arrears</t>
  </si>
  <si>
    <t>total_with_arrears_and_deductions</t>
  </si>
  <si>
    <t>management_fee</t>
  </si>
  <si>
    <t>total_with_management_fee</t>
  </si>
  <si>
    <t>tds</t>
  </si>
  <si>
    <t>gst</t>
  </si>
  <si>
    <t>final_with_gst</t>
  </si>
  <si>
    <t>PRASHANTSWAMI</t>
  </si>
  <si>
    <t>TPL CEE</t>
  </si>
  <si>
    <t>LSV</t>
  </si>
  <si>
    <t>BRSPS1662L</t>
  </si>
  <si>
    <t>PUNE</t>
  </si>
  <si>
    <t>T1EX-PUN-LOHEGAON</t>
  </si>
  <si>
    <t>INTEGRATED</t>
  </si>
  <si>
    <t>ELERIDE MOBILITY SOLUTIONS PVT LTD</t>
  </si>
  <si>
    <t>Service Fees</t>
  </si>
  <si>
    <t>BIKE</t>
  </si>
  <si>
    <t>INTEGRATED-IBBN-RC-008558-14</t>
  </si>
  <si>
    <t>7 DAYS</t>
  </si>
  <si>
    <t/>
  </si>
  <si>
    <t>AMANJAISWAL</t>
  </si>
  <si>
    <t>DBSPJ8374J</t>
  </si>
  <si>
    <t>BSPUN-KSQARE-BANER-BS1</t>
  </si>
  <si>
    <t>INTEGRATED-IBBN-RC-009926-16</t>
  </si>
  <si>
    <t>DAYANANDKALE</t>
  </si>
  <si>
    <t>NEV</t>
  </si>
  <si>
    <t>DZOPK0853F</t>
  </si>
  <si>
    <t>BSPUN-JAGDISHNAGAR-BS2</t>
  </si>
  <si>
    <t>INTEGRATED-IBBN-RC-009659-12</t>
  </si>
  <si>
    <t>TAPASH KUMAR SAHAELERIDE</t>
  </si>
  <si>
    <t>EV</t>
  </si>
  <si>
    <t>BSPUN-HINJEWADI-GS1</t>
  </si>
  <si>
    <t>INTEGRATED-IBBN-RC-008583-19</t>
  </si>
  <si>
    <t>NAVEENKUMAR</t>
  </si>
  <si>
    <t>T1EX-PUN-KHARADI</t>
  </si>
  <si>
    <t>INTEGRATED-IBBN-RC-013441-6</t>
  </si>
  <si>
    <t>MANJEETBHARTI</t>
  </si>
  <si>
    <t>HJRPB3566B</t>
  </si>
  <si>
    <t>T1EX-PUN-NIGDI</t>
  </si>
  <si>
    <t>INTEGRATED-IBBN-RC-012083-10</t>
  </si>
  <si>
    <t>REKHAKUSALKAR</t>
  </si>
  <si>
    <t>DOZPK3940B</t>
  </si>
  <si>
    <t>T1EX-PUN-SINHAGADROAD</t>
  </si>
  <si>
    <t>INTEGRATED-IBBN-RC-013772-5</t>
  </si>
  <si>
    <t>GAURAOJAISWAL</t>
  </si>
  <si>
    <t>BZIPJ7127F</t>
  </si>
  <si>
    <t>T1EX-PUN-PIMPRI</t>
  </si>
  <si>
    <t>INTEGRATED-IBBN-RC-013235-8</t>
  </si>
  <si>
    <t>EXCEPTION - EXTRA KM</t>
  </si>
  <si>
    <t>TUSHARMOHITE</t>
  </si>
  <si>
    <t>DMKPM2533K</t>
  </si>
  <si>
    <t>LAVKUSHKUMAR</t>
  </si>
  <si>
    <t>INTEGRATED-IBBN-RC-008582-20</t>
  </si>
  <si>
    <t>IBND DEDUCTION, IBND DEDUCTION</t>
  </si>
  <si>
    <t>MANJURULLAHKHAN ELERIDE</t>
  </si>
  <si>
    <t>CSCPK8363C</t>
  </si>
  <si>
    <t>IBND DEDUCTION</t>
  </si>
  <si>
    <t>SACHIN NAYASE7350987782</t>
  </si>
  <si>
    <t>T1EX-PUN-WAGHOLI</t>
  </si>
  <si>
    <t>INTEGRATED-IBBN-RC-009587-15</t>
  </si>
  <si>
    <t>VIVEKKUMAR</t>
  </si>
  <si>
    <t>SANTOSH NAYASE7517557492</t>
  </si>
  <si>
    <t>CPCPN5101E</t>
  </si>
  <si>
    <t>INTEGRATED-IBBN-RC-009586-14</t>
  </si>
  <si>
    <t>PANKAJKUMAR</t>
  </si>
  <si>
    <t>ELERIDEAMAN JADHAV</t>
  </si>
  <si>
    <t>ELERIDEFIRSTDHAMMPAL AVHAD</t>
  </si>
  <si>
    <t>SAURABHKANK</t>
  </si>
  <si>
    <t>LEAPK2964N</t>
  </si>
  <si>
    <t>MANGESH JADHAO8010197548</t>
  </si>
  <si>
    <t>NIKHIL RAJU GUPTELERIDE BREAK</t>
  </si>
  <si>
    <t>INTEGRATED-IBBN-RC-009931-16</t>
  </si>
  <si>
    <t>INCORRECT ORDER ACKNOWLEDGEMENT PROCESS DEVIATION</t>
  </si>
  <si>
    <t>ROHAN SUDHKAR CHAVANELRD  BREAK</t>
  </si>
  <si>
    <t>T1EX-PUN-BANER</t>
  </si>
  <si>
    <t>INTEGRATED-IBBN-RC-011702-8</t>
  </si>
  <si>
    <t>Advance</t>
  </si>
  <si>
    <t>Rental</t>
  </si>
  <si>
    <t>Negative</t>
  </si>
  <si>
    <t>Payment B TDS</t>
  </si>
  <si>
    <t>Final Pay</t>
  </si>
  <si>
    <t>Rider Name</t>
  </si>
  <si>
    <t>Account Name</t>
  </si>
  <si>
    <t>A/C Number</t>
  </si>
  <si>
    <t>Amount</t>
  </si>
  <si>
    <t>MONUJ RAJKONWAR</t>
  </si>
  <si>
    <t>NEFT</t>
  </si>
  <si>
    <t>SBIN0017208</t>
  </si>
  <si>
    <t>SBI BANK</t>
  </si>
  <si>
    <t xml:space="preserve">MANJUR ULLAH KHAN </t>
  </si>
  <si>
    <t>924010043095487</t>
  </si>
  <si>
    <t>UTIB0000168</t>
  </si>
  <si>
    <t>AXIS BANK</t>
  </si>
  <si>
    <t>SAURABH KANK</t>
  </si>
  <si>
    <t>BANK OF BARODA</t>
  </si>
  <si>
    <t>Aman Jaiswal</t>
  </si>
  <si>
    <t>UBIN0575038</t>
  </si>
  <si>
    <t>Union Bank</t>
  </si>
  <si>
    <t>1776001700036318</t>
  </si>
  <si>
    <t>PUNB0177600</t>
  </si>
  <si>
    <t>PUNJAB NATIONAL BANK</t>
  </si>
  <si>
    <t>UTIB0000338</t>
  </si>
  <si>
    <t>BARB0VJLOHE</t>
  </si>
  <si>
    <t>MAHB0000059</t>
  </si>
  <si>
    <t>BANK OF MAHARASHTRA</t>
  </si>
  <si>
    <t>SBIN0000419</t>
  </si>
  <si>
    <t>KKBK0001793</t>
  </si>
  <si>
    <t>KOTAK MAHINDRA BANK</t>
  </si>
  <si>
    <t>Aman Singh</t>
  </si>
  <si>
    <t>Rohan Chavan</t>
  </si>
  <si>
    <t>Mangesh Jadhav</t>
  </si>
  <si>
    <t>Santosh Nayase</t>
  </si>
  <si>
    <t>Sachin Nayase</t>
  </si>
  <si>
    <t>Gaurao Jaiswal</t>
  </si>
  <si>
    <t>Prashant Swami</t>
  </si>
  <si>
    <t>IFSC</t>
  </si>
  <si>
    <t>BANK NAME</t>
  </si>
  <si>
    <t>MO NO</t>
  </si>
  <si>
    <t>Vikas Maruti Jadhav</t>
  </si>
  <si>
    <t>MAHB0001261</t>
  </si>
  <si>
    <t>Lavkush Kumar</t>
  </si>
  <si>
    <t>UBIN0557234</t>
  </si>
  <si>
    <t>Rekha</t>
  </si>
  <si>
    <t>SBIN0011490</t>
  </si>
  <si>
    <t>Manjeet Bharti</t>
  </si>
  <si>
    <t>0548333349</t>
  </si>
  <si>
    <t>KKBK0001757</t>
  </si>
  <si>
    <t>SR NO</t>
  </si>
  <si>
    <t>SBIN0003359</t>
  </si>
  <si>
    <t>Row Labels</t>
  </si>
  <si>
    <t>(blank)</t>
  </si>
  <si>
    <t>Grand Total</t>
  </si>
  <si>
    <t>Sum of delivered_orders</t>
  </si>
  <si>
    <t>Sum of total_with_arrears_and_deductions</t>
  </si>
  <si>
    <t>Sum of management_fee</t>
  </si>
  <si>
    <t>Sum of total_with_management_fee</t>
  </si>
  <si>
    <t>BARB0MANGAO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</si>
</sst>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"/>
    <numFmt numFmtId="165" formatCode="###0.##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5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/>
    <xf numFmtId="2" fontId="2" fillId="0" borderId="1" xfId="0" applyNumberFormat="1" applyFont="1" applyBorder="1"/>
    <xf numFmtId="1" fontId="2" fillId="0" borderId="1" xfId="0" applyNumberFormat="1" applyFont="1" applyBorder="1" applyAlignment="1">
      <alignment horizontal="right"/>
    </xf>
    <xf numFmtId="0" fontId="2" fillId="0" borderId="1" xfId="0" applyFont="1" applyFill="1" applyBorder="1"/>
    <xf numFmtId="0" fontId="4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1" fontId="4" fillId="0" borderId="1" xfId="0" applyNumberFormat="1" applyFont="1" applyBorder="1" applyAlignment="1">
      <alignment horizontal="right" vertical="center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833.373691666668" createdVersion="5" refreshedVersion="5" minRefreshableVersion="3" recordCount="22">
  <cacheSource type="worksheet">
    <worksheetSource ref="A1:BG1048576" sheet="Sheet1"/>
  </cacheSource>
  <cacheFields count="59">
    <cacheField name="year" numFmtId="0">
      <sharedItems containsString="0" containsBlank="1" containsNumber="1" containsInteger="1" minValue="2025" maxValue="2025"/>
    </cacheField>
    <cacheField name="month" numFmtId="0">
      <sharedItems containsString="0" containsBlank="1" containsNumber="1" containsInteger="1" minValue="6" maxValue="6"/>
    </cacheField>
    <cacheField name="week" numFmtId="0">
      <sharedItems containsString="0" containsBlank="1" containsNumber="1" containsInteger="1" minValue="3" maxValue="3"/>
    </cacheField>
    <cacheField name="cee_id" numFmtId="0">
      <sharedItems containsString="0" containsBlank="1" containsNumber="1" containsInteger="1" minValue="735193" maxValue="804070"/>
    </cacheField>
    <cacheField name="cee_name" numFmtId="0">
      <sharedItems containsBlank="1"/>
    </cacheField>
    <cacheField name="cee_employment_category" numFmtId="0">
      <sharedItems containsBlank="1"/>
    </cacheField>
    <cacheField name="cee_category" numFmtId="0">
      <sharedItems containsBlank="1"/>
    </cacheField>
    <cacheField name="pan" numFmtId="0">
      <sharedItems containsBlank="1"/>
    </cacheField>
    <cacheField name="city" numFmtId="0">
      <sharedItems containsBlank="1"/>
    </cacheField>
    <cacheField name="store" numFmtId="0">
      <sharedItems containsBlank="1" count="11">
        <s v="T1EX-PUN-LOHEGAON"/>
        <s v="BSPUN-KSQARE-BANER-BS1"/>
        <s v="BSPUN-JAGDISHNAGAR-BS2"/>
        <s v="BSPUN-HINJEWADI-GS1"/>
        <s v="T1EX-PUN-KHARADI"/>
        <s v="T1EX-PUN-NIGDI"/>
        <s v="T1EX-PUN-SINHAGADROAD"/>
        <s v="T1EX-PUN-PIMPRI"/>
        <s v="T1EX-PUN-WAGHOLI"/>
        <s v="T1EX-PUN-BANER"/>
        <m/>
      </sharedItems>
    </cacheField>
    <cacheField name="store_type" numFmtId="0">
      <sharedItems containsBlank="1"/>
    </cacheField>
    <cacheField name="lmd_provider" numFmtId="0">
      <sharedItems containsBlank="1"/>
    </cacheField>
    <cacheField name="MG STATUS" numFmtId="0">
      <sharedItems containsBlank="1"/>
    </cacheField>
    <cacheField name="delivery_mode" numFmtId="0">
      <sharedItems containsBlank="1"/>
    </cacheField>
    <cacheField name="rate_card_id" numFmtId="0">
      <sharedItems containsBlank="1"/>
    </cacheField>
    <cacheField name="settlement_frequency" numFmtId="0">
      <sharedItems containsBlank="1"/>
    </cacheField>
    <cacheField name="delivered_orders" numFmtId="0">
      <sharedItems containsString="0" containsBlank="1" containsNumber="1" containsInteger="1" minValue="4" maxValue="215"/>
    </cacheField>
    <cacheField name="cancelled_orders" numFmtId="0">
      <sharedItems containsString="0" containsBlank="1" containsNumber="1" containsInteger="1" minValue="0" maxValue="5"/>
    </cacheField>
    <cacheField name="pickup_orders" numFmtId="0">
      <sharedItems containsString="0" containsBlank="1" containsNumber="1" containsInteger="1" minValue="0" maxValue="0"/>
    </cacheField>
    <cacheField name="weekday_orders" numFmtId="0">
      <sharedItems containsString="0" containsBlank="1" containsNumber="1" containsInteger="1" minValue="0" maxValue="147"/>
    </cacheField>
    <cacheField name="weekend_orders" numFmtId="0">
      <sharedItems containsString="0" containsBlank="1" containsNumber="1" containsInteger="1" minValue="0" maxValue="68"/>
    </cacheField>
    <cacheField name="incentivised_orders" numFmtId="0">
      <sharedItems containsString="0" containsBlank="1" containsNumber="1" containsInteger="1" minValue="4" maxValue="215"/>
    </cacheField>
    <cacheField name="attendance" numFmtId="0">
      <sharedItems containsString="0" containsBlank="1" containsNumber="1" containsInteger="1" minValue="1" maxValue="7"/>
    </cacheField>
    <cacheField name="month_attendance" numFmtId="0">
      <sharedItems containsString="0" containsBlank="1" containsNumber="1" containsInteger="1" minValue="0" maxValue="0"/>
    </cacheField>
    <cacheField name="distance" numFmtId="0">
      <sharedItems containsString="0" containsBlank="1" containsNumber="1" minValue="10.260000228881836" maxValue="610.44000244140625"/>
    </cacheField>
    <cacheField name="weekday_normal_order_payout" numFmtId="0">
      <sharedItems containsString="0" containsBlank="1" containsNumber="1" containsInteger="1" minValue="0" maxValue="0"/>
    </cacheField>
    <cacheField name="cancelled_order_payout" numFmtId="0">
      <sharedItems containsString="0" containsBlank="1" containsNumber="1" containsInteger="1" minValue="0" maxValue="150"/>
    </cacheField>
    <cacheField name="pickup_order_payout" numFmtId="0">
      <sharedItems containsString="0" containsBlank="1" containsNumber="1" containsInteger="1" minValue="0" maxValue="0"/>
    </cacheField>
    <cacheField name="order_base_payout" numFmtId="0">
      <sharedItems containsString="0" containsBlank="1" containsNumber="1" containsInteger="1" minValue="120" maxValue="5610"/>
    </cacheField>
    <cacheField name="surge_payout" numFmtId="0">
      <sharedItems containsString="0" containsBlank="1" containsNumber="1" containsInteger="1" minValue="10" maxValue="705"/>
    </cacheField>
    <cacheField name="peak_hour_payout" numFmtId="0">
      <sharedItems containsString="0" containsBlank="1" containsNumber="1" containsInteger="1" minValue="0" maxValue="3740"/>
    </cacheField>
    <cacheField name="peak_slot_payout" numFmtId="0">
      <sharedItems containsString="0" containsBlank="1" containsNumber="1" containsInteger="1" minValue="0" maxValue="0"/>
    </cacheField>
    <cacheField name="order_distance_payout" numFmtId="0">
      <sharedItems containsString="0" containsBlank="1" containsNumber="1" minValue="0" maxValue="544.04998779296875"/>
    </cacheField>
    <cacheField name="daily_distance_payout" numFmtId="0">
      <sharedItems containsString="0" containsBlank="1" containsNumber="1" containsInteger="1" minValue="0" maxValue="0"/>
    </cacheField>
    <cacheField name="daily_order_payout" numFmtId="0">
      <sharedItems containsString="0" containsBlank="1" containsNumber="1" containsInteger="1" minValue="0" maxValue="3156"/>
    </cacheField>
    <cacheField name="weekly_order_payout" numFmtId="0">
      <sharedItems containsString="0" containsBlank="1" containsNumber="1" containsInteger="1" minValue="0" maxValue="0"/>
    </cacheField>
    <cacheField name="monthly_order_payout" numFmtId="0">
      <sharedItems containsString="0" containsBlank="1" containsNumber="1" containsInteger="1" minValue="0" maxValue="0"/>
    </cacheField>
    <cacheField name="weight_payout" numFmtId="0">
      <sharedItems containsString="0" containsBlank="1" containsNumber="1" containsInteger="1" minValue="0" maxValue="60"/>
    </cacheField>
    <cacheField name="day_payout" numFmtId="0">
      <sharedItems containsString="0" containsBlank="1" containsNumber="1" containsInteger="1" minValue="0" maxValue="210"/>
    </cacheField>
    <cacheField name="joining_bonus" numFmtId="0">
      <sharedItems containsString="0" containsBlank="1" containsNumber="1" containsInteger="1" minValue="0" maxValue="0"/>
    </cacheField>
    <cacheField name="weekly_attendance_payout" numFmtId="0">
      <sharedItems containsString="0" containsBlank="1" containsNumber="1" containsInteger="1" minValue="0" maxValue="800"/>
    </cacheField>
    <cacheField name="monthly_attendance_payout" numFmtId="0">
      <sharedItems containsString="0" containsBlank="1" containsNumber="1" containsInteger="1" minValue="0" maxValue="0"/>
    </cacheField>
    <cacheField name="service_time" numFmtId="0">
      <sharedItems containsString="0" containsBlank="1" containsNumber="1" minValue="2.293055534362793" maxValue="63"/>
    </cacheField>
    <cacheField name="minimum_guarantee" numFmtId="0">
      <sharedItems containsString="0" containsBlank="1" containsNumber="1" containsInteger="1" minValue="0" maxValue="600"/>
    </cacheField>
    <cacheField name="mg_eligible_days" numFmtId="0">
      <sharedItems containsString="0" containsBlank="1" containsNumber="1" containsInteger="1" minValue="0" maxValue="2"/>
    </cacheField>
    <cacheField name="arrears_amount" numFmtId="0">
      <sharedItems containsString="0" containsBlank="1" containsNumber="1" containsInteger="1" minValue="0" maxValue="1"/>
    </cacheField>
    <cacheField name="arrears_reason" numFmtId="0">
      <sharedItems containsBlank="1"/>
    </cacheField>
    <cacheField name="deductions_amount" numFmtId="0">
      <sharedItems containsString="0" containsBlank="1" containsNumber="1" minValue="0" maxValue="202.69999694824219"/>
    </cacheField>
    <cacheField name="deductions_reason" numFmtId="0">
      <sharedItems containsBlank="1"/>
    </cacheField>
    <cacheField name="base_pay" numFmtId="0">
      <sharedItems containsString="0" containsBlank="1" containsNumber="1" minValue="155" maxValue="13898.0498046875"/>
    </cacheField>
    <cacheField name="incentive_total" numFmtId="0">
      <sharedItems containsString="0" containsBlank="1" containsNumber="1" minValue="30" maxValue="8288.0498046875"/>
    </cacheField>
    <cacheField name="total_without_arrears" numFmtId="0">
      <sharedItems containsString="0" containsBlank="1" containsNumber="1" minValue="155" maxValue="13898.0498046875"/>
    </cacheField>
    <cacheField name="total_with_arrears" numFmtId="0">
      <sharedItems containsString="0" containsBlank="1" containsNumber="1" minValue="155" maxValue="13898.0498046875"/>
    </cacheField>
    <cacheField name="total_with_arrears_and_deductions" numFmtId="0">
      <sharedItems containsString="0" containsBlank="1" containsNumber="1" minValue="155" maxValue="13848.0498046875"/>
    </cacheField>
    <cacheField name="management_fee" numFmtId="0">
      <sharedItems containsString="0" containsBlank="1" containsNumber="1" minValue="9.6" maxValue="448.8"/>
    </cacheField>
    <cacheField name="total_with_management_fee" numFmtId="0">
      <sharedItems containsString="0" containsBlank="1" containsNumber="1" minValue="165" maxValue="14296.849804687499"/>
    </cacheField>
    <cacheField name="tds" numFmtId="0">
      <sharedItems containsString="0" containsBlank="1" containsNumber="1" containsInteger="1" minValue="0" maxValue="0"/>
    </cacheField>
    <cacheField name="gst" numFmtId="0">
      <sharedItems containsString="0" containsBlank="1" containsNumber="1" minValue="29.7" maxValue="2573.4329648437497"/>
    </cacheField>
    <cacheField name="final_with_gst" numFmtId="0">
      <sharedItems containsString="0" containsBlank="1" containsNumber="1" minValue="194.7" maxValue="16870.2827695312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">
  <r>
    <n v="2025"/>
    <n v="6"/>
    <n v="3"/>
    <n v="799957"/>
    <s v="PRASHANTSWAMI"/>
    <s v="TPL CEE"/>
    <s v="LSV"/>
    <s v="BRSPS1662L"/>
    <s v="PUNE"/>
    <x v="0"/>
    <s v="INTEGRATED"/>
    <s v="ELERIDE MOBILITY SOLUTIONS PVT LTD"/>
    <s v="Service Fees"/>
    <s v="BIKE"/>
    <s v="INTEGRATED-IBBN-RC-008558-14"/>
    <s v="7 DAYS"/>
    <n v="84"/>
    <n v="0"/>
    <n v="0"/>
    <n v="51"/>
    <n v="33"/>
    <n v="84"/>
    <n v="6"/>
    <n v="0"/>
    <n v="142.83000183105469"/>
    <n v="0"/>
    <n v="0"/>
    <n v="0"/>
    <n v="2100"/>
    <n v="60"/>
    <n v="0"/>
    <n v="0"/>
    <n v="14"/>
    <n v="0"/>
    <n v="625"/>
    <n v="0"/>
    <n v="0"/>
    <n v="0"/>
    <n v="99"/>
    <n v="0"/>
    <n v="0"/>
    <n v="0"/>
    <n v="34.218887329101562"/>
    <n v="0"/>
    <n v="0"/>
    <n v="0"/>
    <s v=""/>
    <n v="0"/>
    <s v=""/>
    <n v="2898"/>
    <n v="798"/>
    <n v="2898"/>
    <n v="2898"/>
    <n v="2898"/>
    <n v="168"/>
    <n v="3066"/>
    <n v="0"/>
    <n v="551.88"/>
    <n v="3617.88"/>
  </r>
  <r>
    <n v="2025"/>
    <n v="6"/>
    <n v="3"/>
    <n v="793343"/>
    <s v="AMANJAISWAL"/>
    <s v="TPL CEE"/>
    <s v="LSV"/>
    <s v="DBSPJ8374J"/>
    <s v="PUNE"/>
    <x v="1"/>
    <s v="INTEGRATED"/>
    <s v="ELERIDE MOBILITY SOLUTIONS PVT LTD"/>
    <s v="Service Fees"/>
    <s v="BIKE"/>
    <s v="INTEGRATED-IBBN-RC-009926-16"/>
    <s v="7 DAYS"/>
    <n v="163"/>
    <n v="0"/>
    <n v="0"/>
    <n v="112"/>
    <n v="51"/>
    <n v="163"/>
    <n v="7"/>
    <n v="0"/>
    <n v="537.6300048828125"/>
    <n v="0"/>
    <n v="0"/>
    <n v="0"/>
    <n v="4075"/>
    <n v="445"/>
    <n v="3280"/>
    <n v="0"/>
    <n v="470.75"/>
    <n v="0"/>
    <n v="2411"/>
    <n v="0"/>
    <n v="0"/>
    <n v="60"/>
    <n v="153"/>
    <n v="0"/>
    <n v="500"/>
    <n v="0"/>
    <n v="62.535110473632812"/>
    <n v="0"/>
    <n v="0"/>
    <n v="0"/>
    <s v=""/>
    <n v="0"/>
    <s v=""/>
    <n v="11394.75"/>
    <n v="7319.75"/>
    <n v="11394.75"/>
    <n v="11394.75"/>
    <n v="11394.75"/>
    <n v="326"/>
    <n v="11720.75"/>
    <n v="0"/>
    <n v="2109.7350000000001"/>
    <n v="13830.485000000001"/>
  </r>
  <r>
    <n v="2025"/>
    <n v="6"/>
    <n v="3"/>
    <n v="793831"/>
    <s v="DAYANANDKALE"/>
    <s v="TPL CEE"/>
    <s v="NEV"/>
    <s v="DZOPK0853F"/>
    <s v="PUNE"/>
    <x v="2"/>
    <s v="INTEGRATED"/>
    <s v="ELERIDE MOBILITY SOLUTIONS PVT LTD"/>
    <s v="Service Fees"/>
    <s v="BIKE"/>
    <s v="INTEGRATED-IBBN-RC-009659-12"/>
    <s v="7 DAYS"/>
    <n v="4"/>
    <n v="0"/>
    <n v="0"/>
    <n v="4"/>
    <n v="0"/>
    <n v="4"/>
    <n v="1"/>
    <n v="0"/>
    <n v="10.260000228881836"/>
    <n v="0"/>
    <n v="0"/>
    <n v="0"/>
    <n v="120"/>
    <n v="30"/>
    <n v="0"/>
    <n v="0"/>
    <n v="10.350000381469727"/>
    <n v="0"/>
    <n v="0"/>
    <n v="0"/>
    <n v="0"/>
    <n v="0"/>
    <n v="0"/>
    <n v="0"/>
    <n v="0"/>
    <n v="0"/>
    <n v="2.293055534362793"/>
    <n v="0"/>
    <n v="0"/>
    <n v="0"/>
    <s v=""/>
    <n v="0"/>
    <s v=""/>
    <n v="160.35000610351562"/>
    <n v="40.349998474121094"/>
    <n v="160.35000610351562"/>
    <n v="160.35000610351562"/>
    <n v="160.35000610351562"/>
    <n v="9.6"/>
    <n v="169.95000610351562"/>
    <n v="0"/>
    <n v="30.591001098632809"/>
    <n v="200.54100720214842"/>
  </r>
  <r>
    <n v="2025"/>
    <n v="6"/>
    <n v="3"/>
    <n v="753406"/>
    <s v="TAPASH KUMAR SAHAELERIDE"/>
    <s v="TPL CEE"/>
    <s v="EV"/>
    <m/>
    <s v="PUNE"/>
    <x v="3"/>
    <s v="INTEGRATED"/>
    <s v="ELERIDE MOBILITY SOLUTIONS PVT LTD"/>
    <s v="Service Fees"/>
    <s v="BIKE"/>
    <s v="INTEGRATED-IBBN-RC-008583-19"/>
    <s v="7 DAYS"/>
    <n v="82"/>
    <n v="1"/>
    <n v="0"/>
    <n v="51"/>
    <n v="31"/>
    <n v="82"/>
    <n v="5"/>
    <n v="0"/>
    <n v="177.52999877929687"/>
    <n v="0"/>
    <n v="25"/>
    <n v="0"/>
    <n v="2075"/>
    <n v="145"/>
    <n v="150"/>
    <n v="0"/>
    <n v="28.399999618530273"/>
    <n v="0"/>
    <n v="930"/>
    <n v="0"/>
    <n v="0"/>
    <n v="0"/>
    <n v="93"/>
    <n v="0"/>
    <n v="0"/>
    <n v="0"/>
    <n v="25.914943695068359"/>
    <n v="300"/>
    <n v="1"/>
    <n v="0"/>
    <s v=""/>
    <n v="0"/>
    <s v=""/>
    <n v="3421.39990234375"/>
    <n v="1346.4000244140625"/>
    <n v="3721.39990234375"/>
    <n v="3721.39990234375"/>
    <n v="3721.39990234375"/>
    <n v="166"/>
    <n v="3887.39990234375"/>
    <n v="0"/>
    <n v="699.73198242187493"/>
    <n v="4587.1318847656248"/>
  </r>
  <r>
    <n v="2025"/>
    <n v="6"/>
    <n v="3"/>
    <n v="804059"/>
    <s v="NAVEENKUMAR"/>
    <s v="TPL CEE"/>
    <s v="LSV"/>
    <m/>
    <s v="PUNE"/>
    <x v="4"/>
    <s v="INTEGRATED"/>
    <s v="ELERIDE MOBILITY SOLUTIONS PVT LTD"/>
    <s v="Service Fees"/>
    <s v="BIKE"/>
    <s v="INTEGRATED-IBBN-RC-013441-6"/>
    <s v="7 DAYS"/>
    <n v="5"/>
    <n v="0"/>
    <n v="0"/>
    <n v="5"/>
    <n v="0"/>
    <n v="5"/>
    <n v="2"/>
    <n v="0"/>
    <n v="11.220000267028809"/>
    <n v="0"/>
    <n v="0"/>
    <n v="0"/>
    <n v="125"/>
    <n v="30"/>
    <n v="0"/>
    <n v="0"/>
    <n v="0"/>
    <n v="0"/>
    <n v="0"/>
    <n v="0"/>
    <n v="0"/>
    <n v="0"/>
    <n v="0"/>
    <n v="0"/>
    <n v="0"/>
    <n v="0"/>
    <n v="3.6209444999694824"/>
    <n v="0"/>
    <n v="0"/>
    <n v="0"/>
    <s v=""/>
    <n v="0"/>
    <s v=""/>
    <n v="155"/>
    <n v="30"/>
    <n v="155"/>
    <n v="155"/>
    <n v="155"/>
    <n v="10"/>
    <n v="165"/>
    <n v="0"/>
    <n v="29.7"/>
    <n v="194.7"/>
  </r>
  <r>
    <n v="2025"/>
    <n v="6"/>
    <n v="3"/>
    <n v="803461"/>
    <s v="MANJEETBHARTI"/>
    <s v="TPL CEE"/>
    <s v="LSV"/>
    <s v="HJRPB3566B"/>
    <s v="PUNE"/>
    <x v="5"/>
    <s v="INTEGRATED"/>
    <s v="ELERIDE MOBILITY SOLUTIONS PVT LTD"/>
    <s v="Service Fees"/>
    <s v="BIKE"/>
    <s v="INTEGRATED-IBBN-RC-012083-10"/>
    <s v="7 DAYS"/>
    <n v="43"/>
    <n v="3"/>
    <n v="0"/>
    <n v="33"/>
    <n v="10"/>
    <n v="43"/>
    <n v="6"/>
    <n v="0"/>
    <n v="128.88999938964844"/>
    <n v="0"/>
    <n v="75"/>
    <n v="0"/>
    <n v="1150"/>
    <n v="85"/>
    <n v="460"/>
    <n v="0"/>
    <n v="141.55000305175781"/>
    <n v="0"/>
    <n v="65"/>
    <n v="0"/>
    <n v="0"/>
    <n v="30"/>
    <n v="36"/>
    <n v="0"/>
    <n v="0"/>
    <n v="0"/>
    <n v="23.971000671386719"/>
    <n v="0"/>
    <n v="0"/>
    <n v="0"/>
    <s v=""/>
    <n v="0"/>
    <s v=""/>
    <n v="1967.550048828125"/>
    <n v="817.54998779296875"/>
    <n v="1967.550048828125"/>
    <n v="1967.550048828125"/>
    <n v="1967.550048828125"/>
    <n v="92"/>
    <n v="2059.550048828125"/>
    <n v="0"/>
    <n v="370.71900878906251"/>
    <n v="2430.2690576171876"/>
  </r>
  <r>
    <n v="2025"/>
    <n v="6"/>
    <n v="3"/>
    <n v="803593"/>
    <s v="REKHAKUSALKAR"/>
    <s v="TPL CEE"/>
    <s v="NEV"/>
    <s v="DOZPK3940B"/>
    <s v="PUNE"/>
    <x v="6"/>
    <s v="INTEGRATED"/>
    <s v="ELERIDE MOBILITY SOLUTIONS PVT LTD"/>
    <s v="Service Fees"/>
    <s v="BIKE"/>
    <s v="INTEGRATED-IBBN-RC-013772-5"/>
    <s v="7 DAYS"/>
    <n v="15"/>
    <n v="0"/>
    <n v="0"/>
    <n v="15"/>
    <n v="0"/>
    <n v="15"/>
    <n v="2"/>
    <n v="0"/>
    <n v="28.579999923706055"/>
    <n v="0"/>
    <n v="0"/>
    <n v="0"/>
    <n v="450"/>
    <n v="10"/>
    <n v="300"/>
    <n v="0"/>
    <n v="0.89999997615814209"/>
    <n v="0"/>
    <n v="55"/>
    <n v="0"/>
    <n v="0"/>
    <n v="30"/>
    <n v="0"/>
    <n v="0"/>
    <n v="0"/>
    <n v="0"/>
    <n v="8.3346672058105469"/>
    <n v="0"/>
    <n v="0"/>
    <n v="0"/>
    <s v=""/>
    <n v="0"/>
    <s v=""/>
    <n v="845.9000244140625"/>
    <n v="395.89999389648438"/>
    <n v="845.9000244140625"/>
    <n v="845.9000244140625"/>
    <n v="845.9000244140625"/>
    <n v="36"/>
    <n v="881.9000244140625"/>
    <n v="0"/>
    <n v="158.74200439453125"/>
    <n v="1040.6420288085937"/>
  </r>
  <r>
    <n v="2025"/>
    <n v="6"/>
    <n v="3"/>
    <n v="780996"/>
    <s v="GAURAOJAISWAL"/>
    <s v="TPL CEE"/>
    <s v="EV"/>
    <s v="BZIPJ7127F"/>
    <s v="PUNE"/>
    <x v="7"/>
    <s v="INTEGRATED"/>
    <s v="ELERIDE MOBILITY SOLUTIONS PVT LTD"/>
    <s v="Service Fees"/>
    <s v="BIKE"/>
    <s v="INTEGRATED-IBBN-RC-013235-8"/>
    <s v="7 DAYS"/>
    <n v="79"/>
    <n v="3"/>
    <n v="0"/>
    <n v="63"/>
    <n v="16"/>
    <n v="79"/>
    <n v="4"/>
    <n v="0"/>
    <n v="178.38999938964844"/>
    <n v="0"/>
    <n v="75"/>
    <n v="0"/>
    <n v="2050"/>
    <n v="40"/>
    <n v="200"/>
    <n v="0"/>
    <n v="138.94999694824219"/>
    <n v="0"/>
    <n v="918"/>
    <n v="0"/>
    <n v="0"/>
    <n v="0"/>
    <n v="48"/>
    <n v="0"/>
    <n v="0"/>
    <n v="0"/>
    <n v="25.974443435668945"/>
    <n v="0"/>
    <n v="0"/>
    <n v="1"/>
    <s v="EXCEPTION - EXTRA KM"/>
    <n v="0"/>
    <s v=""/>
    <n v="3394.949951171875"/>
    <n v="1344.949951171875"/>
    <n v="3394.949951171875"/>
    <n v="3395.949951171875"/>
    <n v="3395.949951171875"/>
    <n v="164"/>
    <n v="3559.949951171875"/>
    <n v="0"/>
    <n v="640.79099121093748"/>
    <n v="4200.7409423828121"/>
  </r>
  <r>
    <n v="2025"/>
    <n v="6"/>
    <n v="3"/>
    <n v="801108"/>
    <s v="TUSHARMOHITE"/>
    <s v="TPL CEE"/>
    <s v="EV"/>
    <s v="DMKPM2533K"/>
    <s v="PUNE"/>
    <x v="3"/>
    <s v="INTEGRATED"/>
    <s v="ELERIDE MOBILITY SOLUTIONS PVT LTD"/>
    <s v="Service Fees"/>
    <s v="BIKE"/>
    <s v="INTEGRATED-IBBN-RC-008583-19"/>
    <s v="7 DAYS"/>
    <n v="15"/>
    <n v="0"/>
    <n v="0"/>
    <n v="0"/>
    <n v="15"/>
    <n v="15"/>
    <n v="1"/>
    <n v="0"/>
    <n v="30.399999618530273"/>
    <n v="0"/>
    <n v="0"/>
    <n v="0"/>
    <n v="375"/>
    <n v="15"/>
    <n v="0"/>
    <n v="0"/>
    <n v="5.000000074505806E-2"/>
    <n v="0"/>
    <n v="75"/>
    <n v="0"/>
    <n v="0"/>
    <n v="0"/>
    <n v="45"/>
    <n v="0"/>
    <n v="0"/>
    <n v="0"/>
    <n v="5.3769445419311523"/>
    <n v="0"/>
    <n v="0"/>
    <n v="0"/>
    <s v=""/>
    <n v="0"/>
    <s v=""/>
    <n v="510.04998779296875"/>
    <n v="135.05000305175781"/>
    <n v="510.04998779296875"/>
    <n v="510.04998779296875"/>
    <n v="510.04998779296875"/>
    <n v="30"/>
    <n v="540.04998779296875"/>
    <n v="0"/>
    <n v="97.208997802734373"/>
    <n v="637.25898559570317"/>
  </r>
  <r>
    <n v="2025"/>
    <n v="6"/>
    <n v="3"/>
    <n v="804000"/>
    <s v="LAVKUSHKUMAR"/>
    <s v="TPL CEE"/>
    <s v="NEV"/>
    <m/>
    <s v="PUNE"/>
    <x v="3"/>
    <s v="INTEGRATED"/>
    <s v="ELERIDE MOBILITY SOLUTIONS PVT LTD"/>
    <s v="Service Fees"/>
    <s v="BIKE"/>
    <s v="INTEGRATED-IBBN-RC-008582-20"/>
    <s v="7 DAYS"/>
    <n v="151"/>
    <n v="5"/>
    <n v="0"/>
    <n v="121"/>
    <n v="30"/>
    <n v="151"/>
    <n v="7"/>
    <n v="0"/>
    <n v="338.45001220703125"/>
    <n v="0"/>
    <n v="150"/>
    <n v="0"/>
    <n v="4680"/>
    <n v="460"/>
    <n v="0"/>
    <n v="0"/>
    <n v="81.050003051757813"/>
    <n v="0"/>
    <n v="1894"/>
    <n v="0"/>
    <n v="0"/>
    <n v="0"/>
    <n v="90"/>
    <n v="0"/>
    <n v="500"/>
    <n v="0"/>
    <n v="57.912498474121094"/>
    <n v="300"/>
    <n v="1"/>
    <n v="0"/>
    <s v=""/>
    <n v="202.69999694824219"/>
    <s v="IBND DEDUCTION, IBND DEDUCTION"/>
    <n v="7705.0498046875"/>
    <n v="3025.050048828125"/>
    <n v="8005.0498046875"/>
    <n v="8005.0498046875"/>
    <n v="7802.35009765625"/>
    <n v="374.40000000000003"/>
    <n v="8176.7500976562496"/>
    <n v="0"/>
    <n v="1471.815017578125"/>
    <n v="9648.5651152343744"/>
  </r>
  <r>
    <n v="2025"/>
    <n v="6"/>
    <n v="3"/>
    <n v="784832"/>
    <s v="MANJURULLAHKHAN ELERIDE"/>
    <s v="TPL CEE"/>
    <s v="NEV"/>
    <s v="CSCPK8363C"/>
    <s v="PUNE"/>
    <x v="3"/>
    <s v="INTEGRATED"/>
    <s v="ELERIDE MOBILITY SOLUTIONS PVT LTD"/>
    <s v="Service Fees"/>
    <s v="BIKE"/>
    <s v="INTEGRATED-IBBN-RC-008582-20"/>
    <s v="7 DAYS"/>
    <n v="183"/>
    <n v="4"/>
    <n v="0"/>
    <n v="130"/>
    <n v="53"/>
    <n v="183"/>
    <n v="7"/>
    <n v="0"/>
    <n v="397.47000122070313"/>
    <n v="0"/>
    <n v="120"/>
    <n v="0"/>
    <n v="5610"/>
    <n v="545"/>
    <n v="0"/>
    <n v="0"/>
    <n v="82.550003051757813"/>
    <n v="0"/>
    <n v="2628"/>
    <n v="0"/>
    <n v="0"/>
    <n v="0"/>
    <n v="159"/>
    <n v="0"/>
    <n v="500"/>
    <n v="0"/>
    <n v="61.712444305419922"/>
    <n v="600"/>
    <n v="2"/>
    <n v="0"/>
    <s v=""/>
    <n v="70"/>
    <s v="IBND DEDUCTION"/>
    <n v="9524.5498046875"/>
    <n v="3914.550048828125"/>
    <n v="10124.5498046875"/>
    <n v="10124.5498046875"/>
    <n v="10054.5498046875"/>
    <n v="448.8"/>
    <n v="10503.349804687499"/>
    <n v="0"/>
    <n v="1890.6029648437498"/>
    <n v="12393.95276953125"/>
  </r>
  <r>
    <n v="2025"/>
    <n v="6"/>
    <n v="3"/>
    <n v="756144"/>
    <s v="SACHIN NAYASE7350987782"/>
    <s v="TPL CEE"/>
    <s v="NEV"/>
    <m/>
    <s v="PUNE"/>
    <x v="8"/>
    <s v="INTEGRATED"/>
    <s v="ELERIDE MOBILITY SOLUTIONS PVT LTD"/>
    <s v="Service Fees"/>
    <s v="BIKE"/>
    <s v="INTEGRATED-IBBN-RC-009587-15"/>
    <s v="7 DAYS"/>
    <n v="103"/>
    <n v="0"/>
    <n v="0"/>
    <n v="56"/>
    <n v="47"/>
    <n v="103"/>
    <n v="6"/>
    <n v="0"/>
    <n v="210.74000549316406"/>
    <n v="0"/>
    <n v="0"/>
    <n v="0"/>
    <n v="3090"/>
    <n v="140"/>
    <n v="0"/>
    <n v="0"/>
    <n v="32.349998474121094"/>
    <n v="0"/>
    <n v="1185"/>
    <n v="0"/>
    <n v="0"/>
    <n v="0"/>
    <n v="147"/>
    <n v="0"/>
    <n v="0"/>
    <n v="0"/>
    <n v="42.845222473144531"/>
    <n v="0"/>
    <n v="0"/>
    <n v="0"/>
    <s v=""/>
    <n v="0"/>
    <s v=""/>
    <n v="4594.35009765625"/>
    <n v="1504.3499755859375"/>
    <n v="4594.35009765625"/>
    <n v="4594.35009765625"/>
    <n v="4594.35009765625"/>
    <n v="247.20000000000002"/>
    <n v="4841.5500976562498"/>
    <n v="0"/>
    <n v="871.47901757812497"/>
    <n v="5713.0291152343743"/>
  </r>
  <r>
    <n v="2025"/>
    <n v="6"/>
    <n v="3"/>
    <n v="804070"/>
    <s v="VIVEKKUMAR"/>
    <s v="TPL CEE"/>
    <s v="NEV"/>
    <m/>
    <s v="PUNE"/>
    <x v="3"/>
    <s v="INTEGRATED"/>
    <s v="ELERIDE MOBILITY SOLUTIONS PVT LTD"/>
    <s v="Service Fees"/>
    <s v="BIKE"/>
    <s v="INTEGRATED-IBBN-RC-008582-20"/>
    <s v="7 DAYS"/>
    <n v="16"/>
    <n v="0"/>
    <n v="0"/>
    <n v="16"/>
    <n v="0"/>
    <n v="16"/>
    <n v="2"/>
    <n v="0"/>
    <n v="32.090000152587891"/>
    <n v="0"/>
    <n v="0"/>
    <n v="0"/>
    <n v="480"/>
    <n v="90"/>
    <n v="0"/>
    <n v="0"/>
    <n v="0.80000001192092896"/>
    <n v="0"/>
    <n v="0"/>
    <n v="0"/>
    <n v="0"/>
    <n v="0"/>
    <n v="0"/>
    <n v="0"/>
    <n v="0"/>
    <n v="0"/>
    <n v="7.3252224922180176"/>
    <n v="0"/>
    <n v="0"/>
    <n v="0"/>
    <s v=""/>
    <n v="0"/>
    <s v=""/>
    <n v="570.79998779296875"/>
    <n v="90.800003051757812"/>
    <n v="570.79998779296875"/>
    <n v="570.79998779296875"/>
    <n v="570.79998779296875"/>
    <n v="38.4"/>
    <n v="609.19998779296873"/>
    <n v="0"/>
    <n v="109.65599780273436"/>
    <n v="718.85598559570303"/>
  </r>
  <r>
    <n v="2025"/>
    <n v="6"/>
    <n v="3"/>
    <n v="786490"/>
    <s v="SANTOSH NAYASE7517557492"/>
    <s v="TPL CEE"/>
    <s v="LSV"/>
    <s v="CPCPN5101E"/>
    <s v="PUNE"/>
    <x v="8"/>
    <s v="INTEGRATED"/>
    <s v="ELERIDE MOBILITY SOLUTIONS PVT LTD"/>
    <s v="Service Fees"/>
    <s v="BIKE"/>
    <s v="INTEGRATED-IBBN-RC-009586-14"/>
    <s v="7 DAYS"/>
    <n v="142"/>
    <n v="2"/>
    <n v="0"/>
    <n v="94"/>
    <n v="48"/>
    <n v="142"/>
    <n v="7"/>
    <n v="0"/>
    <n v="284.29000854492187"/>
    <n v="0"/>
    <n v="50"/>
    <n v="0"/>
    <n v="3600"/>
    <n v="250"/>
    <n v="0"/>
    <n v="0"/>
    <n v="67.400001525878906"/>
    <n v="0"/>
    <n v="1713"/>
    <n v="0"/>
    <n v="0"/>
    <n v="30"/>
    <n v="144"/>
    <n v="0"/>
    <n v="250"/>
    <n v="0"/>
    <n v="61.903720855712891"/>
    <n v="0"/>
    <n v="0"/>
    <n v="0"/>
    <s v=""/>
    <n v="0"/>
    <s v=""/>
    <n v="6054.39990234375"/>
    <n v="2454.39990234375"/>
    <n v="6054.39990234375"/>
    <n v="6054.39990234375"/>
    <n v="6054.39990234375"/>
    <n v="288"/>
    <n v="6342.39990234375"/>
    <n v="0"/>
    <n v="1141.6319824218749"/>
    <n v="7484.0318847656254"/>
  </r>
  <r>
    <n v="2025"/>
    <n v="6"/>
    <n v="3"/>
    <n v="804002"/>
    <s v="PANKAJKUMAR"/>
    <s v="TPL CEE"/>
    <s v="LSV"/>
    <m/>
    <s v="PUNE"/>
    <x v="3"/>
    <s v="INTEGRATED"/>
    <s v="ELERIDE MOBILITY SOLUTIONS PVT LTD"/>
    <s v="Service Fees"/>
    <s v="BIKE"/>
    <s v="INTEGRATED-IBBN-RC-008583-19"/>
    <s v="7 DAYS"/>
    <n v="8"/>
    <n v="1"/>
    <n v="0"/>
    <n v="3"/>
    <n v="5"/>
    <n v="8"/>
    <n v="2"/>
    <n v="0"/>
    <n v="24.860000610351563"/>
    <n v="0"/>
    <n v="25"/>
    <n v="0"/>
    <n v="225"/>
    <n v="35"/>
    <n v="0"/>
    <n v="0"/>
    <n v="8.1000003814697266"/>
    <n v="0"/>
    <n v="0"/>
    <n v="0"/>
    <n v="0"/>
    <n v="0"/>
    <n v="15"/>
    <n v="0"/>
    <n v="0"/>
    <n v="0"/>
    <n v="4.8255000114440918"/>
    <n v="0"/>
    <n v="0"/>
    <n v="0"/>
    <s v=""/>
    <n v="0"/>
    <s v=""/>
    <n v="283.10000610351562"/>
    <n v="58.099998474121094"/>
    <n v="283.10000610351562"/>
    <n v="283.10000610351562"/>
    <n v="283.10000610351562"/>
    <n v="18"/>
    <n v="301.10000610351562"/>
    <n v="0"/>
    <n v="54.198001098632808"/>
    <n v="355.29800720214843"/>
  </r>
  <r>
    <n v="2025"/>
    <n v="6"/>
    <n v="3"/>
    <n v="738700"/>
    <s v="ELERIDEAMAN JADHAV"/>
    <s v="TPL CEE"/>
    <s v="NEV"/>
    <m/>
    <s v="PUNE"/>
    <x v="2"/>
    <s v="INTEGRATED"/>
    <s v="ELERIDE MOBILITY SOLUTIONS PVT LTD"/>
    <s v="Service Fees"/>
    <s v="BIKE"/>
    <s v="INTEGRATED-IBBN-RC-009659-12"/>
    <s v="7 DAYS"/>
    <n v="95"/>
    <n v="2"/>
    <n v="0"/>
    <n v="75"/>
    <n v="20"/>
    <n v="95"/>
    <n v="5"/>
    <n v="0"/>
    <n v="226.97000122070312"/>
    <n v="0"/>
    <n v="60"/>
    <n v="0"/>
    <n v="2910"/>
    <n v="220"/>
    <n v="0"/>
    <n v="0"/>
    <n v="99.650001525878906"/>
    <n v="0"/>
    <n v="1146"/>
    <n v="0"/>
    <n v="0"/>
    <n v="0"/>
    <n v="63"/>
    <n v="0"/>
    <n v="0"/>
    <n v="0"/>
    <n v="28.260499954223633"/>
    <n v="0"/>
    <n v="0"/>
    <n v="0"/>
    <s v=""/>
    <n v="0"/>
    <s v=""/>
    <n v="4438.64990234375"/>
    <n v="1528.6500244140625"/>
    <n v="4438.64990234375"/>
    <n v="4438.64990234375"/>
    <n v="4438.64990234375"/>
    <n v="232.8"/>
    <n v="4671.4499023437502"/>
    <n v="0"/>
    <n v="840.86098242187495"/>
    <n v="5512.3108847656249"/>
  </r>
  <r>
    <n v="2025"/>
    <n v="6"/>
    <n v="3"/>
    <n v="735193"/>
    <s v="ELERIDEFIRSTDHAMMPAL AVHAD"/>
    <s v="TPL CEE"/>
    <s v="EV"/>
    <m/>
    <s v="PUNE"/>
    <x v="3"/>
    <s v="INTEGRATED"/>
    <s v="ELERIDE MOBILITY SOLUTIONS PVT LTD"/>
    <s v="Service Fees"/>
    <s v="BIKE"/>
    <s v="INTEGRATED-IBBN-RC-008583-19"/>
    <s v="7 DAYS"/>
    <n v="66"/>
    <n v="2"/>
    <n v="0"/>
    <n v="54"/>
    <n v="12"/>
    <n v="66"/>
    <n v="5"/>
    <n v="0"/>
    <n v="153.11000061035156"/>
    <n v="0"/>
    <n v="50"/>
    <n v="0"/>
    <n v="1700"/>
    <n v="180"/>
    <n v="0"/>
    <n v="0"/>
    <n v="29.100000381469727"/>
    <n v="0"/>
    <n v="530"/>
    <n v="0"/>
    <n v="0"/>
    <n v="0"/>
    <n v="39"/>
    <n v="0"/>
    <n v="0"/>
    <n v="0"/>
    <n v="25.168277740478516"/>
    <n v="0"/>
    <n v="0"/>
    <n v="0"/>
    <s v=""/>
    <n v="0"/>
    <s v=""/>
    <n v="2478.10009765625"/>
    <n v="778.0999755859375"/>
    <n v="2478.10009765625"/>
    <n v="2478.10009765625"/>
    <n v="2478.10009765625"/>
    <n v="136"/>
    <n v="2614.10009765625"/>
    <n v="0"/>
    <n v="470.53801757812499"/>
    <n v="3084.6381152343752"/>
  </r>
  <r>
    <n v="2025"/>
    <n v="6"/>
    <n v="3"/>
    <n v="799654"/>
    <s v="SAURABHKANK"/>
    <s v="TPL CEE"/>
    <s v="LSV"/>
    <s v="LEAPK2964N"/>
    <s v="PUNE"/>
    <x v="3"/>
    <s v="INTEGRATED"/>
    <s v="ELERIDE MOBILITY SOLUTIONS PVT LTD"/>
    <s v="Service Fees"/>
    <s v="BIKE"/>
    <s v="INTEGRATED-IBBN-RC-008583-19"/>
    <s v="7 DAYS"/>
    <n v="159"/>
    <n v="3"/>
    <n v="0"/>
    <n v="132"/>
    <n v="27"/>
    <n v="159"/>
    <n v="6"/>
    <n v="0"/>
    <n v="328.260009765625"/>
    <n v="0"/>
    <n v="75"/>
    <n v="0"/>
    <n v="4050"/>
    <n v="530"/>
    <n v="0"/>
    <n v="0"/>
    <n v="23.450000762939453"/>
    <n v="0"/>
    <n v="2262"/>
    <n v="0"/>
    <n v="0"/>
    <n v="0"/>
    <n v="81"/>
    <n v="0"/>
    <n v="250"/>
    <n v="0"/>
    <n v="51.621555328369141"/>
    <n v="600"/>
    <n v="2"/>
    <n v="0"/>
    <s v=""/>
    <n v="86.540000915527344"/>
    <s v="IBND DEDUCTION, IBND DEDUCTION"/>
    <n v="7196.4501953125"/>
    <n v="3146.449951171875"/>
    <n v="7796.4501953125"/>
    <n v="7796.4501953125"/>
    <n v="7709.91015625"/>
    <n v="324"/>
    <n v="8033.91015625"/>
    <n v="0"/>
    <n v="1446.1038281249998"/>
    <n v="9480.0139843750003"/>
  </r>
  <r>
    <n v="2025"/>
    <n v="6"/>
    <n v="3"/>
    <n v="804004"/>
    <s v="MANGESH JADHAO8010197548"/>
    <s v="TPL CEE"/>
    <s v="LSV"/>
    <m/>
    <s v="PUNE"/>
    <x v="8"/>
    <s v="INTEGRATED"/>
    <s v="ELERIDE MOBILITY SOLUTIONS PVT LTD"/>
    <s v="Service Fees"/>
    <s v="BIKE"/>
    <s v="INTEGRATED-IBBN-RC-009586-14"/>
    <s v="7 DAYS"/>
    <n v="85"/>
    <n v="2"/>
    <n v="0"/>
    <n v="59"/>
    <n v="26"/>
    <n v="85"/>
    <n v="6"/>
    <n v="0"/>
    <n v="175.07000732421875"/>
    <n v="0"/>
    <n v="50"/>
    <n v="0"/>
    <n v="2175"/>
    <n v="120"/>
    <n v="0"/>
    <n v="0"/>
    <n v="50.349998474121094"/>
    <n v="0"/>
    <n v="663"/>
    <n v="0"/>
    <n v="0"/>
    <n v="30"/>
    <n v="78"/>
    <n v="0"/>
    <n v="0"/>
    <n v="0"/>
    <n v="48.426666259765625"/>
    <n v="0"/>
    <n v="0"/>
    <n v="0"/>
    <s v=""/>
    <n v="0"/>
    <s v=""/>
    <n v="3116.35009765625"/>
    <n v="941.3499755859375"/>
    <n v="3116.35009765625"/>
    <n v="3116.35009765625"/>
    <n v="3116.35009765625"/>
    <n v="174"/>
    <n v="3290.35009765625"/>
    <n v="0"/>
    <n v="592.26301757812496"/>
    <n v="3882.6131152343751"/>
  </r>
  <r>
    <n v="2025"/>
    <n v="6"/>
    <n v="3"/>
    <n v="741275"/>
    <s v="NIKHIL RAJU GUPTELERIDE BREAK"/>
    <s v="TPL CEE"/>
    <s v="NEV"/>
    <m/>
    <s v="PUNE"/>
    <x v="1"/>
    <s v="INTEGRATED"/>
    <s v="ELERIDE MOBILITY SOLUTIONS PVT LTD"/>
    <s v="Service Fees"/>
    <s v="BIKE"/>
    <s v="INTEGRATED-IBBN-RC-009931-16"/>
    <s v="7 DAYS"/>
    <n v="186"/>
    <n v="1"/>
    <n v="0"/>
    <n v="134"/>
    <n v="52"/>
    <n v="186"/>
    <n v="7"/>
    <n v="0"/>
    <n v="610.44000244140625"/>
    <n v="0"/>
    <n v="30"/>
    <n v="0"/>
    <n v="5610"/>
    <n v="555"/>
    <n v="3740"/>
    <n v="0"/>
    <n v="544.04998779296875"/>
    <n v="0"/>
    <n v="2790"/>
    <n v="0"/>
    <n v="0"/>
    <n v="0"/>
    <n v="159"/>
    <n v="0"/>
    <n v="500"/>
    <n v="0"/>
    <n v="63"/>
    <n v="0"/>
    <n v="0"/>
    <n v="0"/>
    <s v=""/>
    <n v="50"/>
    <s v="INCORRECT ORDER ACKNOWLEDGEMENT PROCESS DEVIATION"/>
    <n v="13898.0498046875"/>
    <n v="8288.0498046875"/>
    <n v="13898.0498046875"/>
    <n v="13898.0498046875"/>
    <n v="13848.0498046875"/>
    <n v="448.8"/>
    <n v="14296.849804687499"/>
    <n v="0"/>
    <n v="2573.4329648437497"/>
    <n v="16870.282769531248"/>
  </r>
  <r>
    <n v="2025"/>
    <n v="6"/>
    <n v="3"/>
    <n v="757911"/>
    <s v="ROHAN SUDHKAR CHAVANELRD  BREAK"/>
    <s v="TPL CEE"/>
    <s v="EV"/>
    <m/>
    <s v="PUNE"/>
    <x v="9"/>
    <s v="INTEGRATED"/>
    <s v="ELERIDE MOBILITY SOLUTIONS PVT LTD"/>
    <s v="Service Fees"/>
    <s v="BIKE"/>
    <s v="INTEGRATED-IBBN-RC-011702-8"/>
    <s v="7 DAYS"/>
    <n v="215"/>
    <n v="1"/>
    <n v="0"/>
    <n v="147"/>
    <n v="68"/>
    <n v="215"/>
    <n v="7"/>
    <n v="0"/>
    <n v="359.8900146484375"/>
    <n v="0"/>
    <n v="25"/>
    <n v="0"/>
    <n v="5400"/>
    <n v="705"/>
    <n v="0"/>
    <n v="0"/>
    <n v="3.25"/>
    <n v="0"/>
    <n v="3156"/>
    <n v="0"/>
    <n v="0"/>
    <n v="30"/>
    <n v="210"/>
    <n v="0"/>
    <n v="800"/>
    <n v="0"/>
    <n v="62.109443664550781"/>
    <n v="0"/>
    <n v="0"/>
    <n v="0"/>
    <s v=""/>
    <n v="0"/>
    <s v=""/>
    <n v="10304.25"/>
    <n v="4904.25"/>
    <n v="10304.25"/>
    <n v="10304.25"/>
    <n v="10304.25"/>
    <n v="432"/>
    <n v="10736.25"/>
    <n v="0"/>
    <n v="1932.5249999999999"/>
    <n v="12668.775"/>
  </r>
  <r>
    <m/>
    <m/>
    <m/>
    <m/>
    <m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E15" firstHeaderRow="0" firstDataRow="1" firstDataCol="1"/>
  <pivotFields count="5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3"/>
        <item x="2"/>
        <item x="1"/>
        <item x="9"/>
        <item x="4"/>
        <item x="0"/>
        <item x="5"/>
        <item x="7"/>
        <item x="6"/>
        <item x="8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delivered_orders" fld="16" baseField="9" baseItem="0"/>
    <dataField name="Sum of total_with_management_fee" fld="55" baseField="9" baseItem="0"/>
    <dataField name="Sum of total_with_arrears_and_deductions" fld="53" baseField="9" baseItem="0"/>
    <dataField name="Sum of management_fee" fld="54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30"/>
  <sheetViews>
    <sheetView topLeftCell="B8" workbookViewId="0">
      <selection activeCell="G28" sqref="G28:I28"/>
    </sheetView>
  </sheetViews>
  <sheetFormatPr defaultRowHeight="14.25"/>
  <cols>
    <col min="1" max="1" width="27" bestFit="1" customWidth="1"/>
    <col min="2" max="2" width="23.25" customWidth="1"/>
    <col min="3" max="3" width="32.75" customWidth="1"/>
    <col min="4" max="4" width="39.375" customWidth="1"/>
    <col min="5" max="5" width="23" bestFit="1" customWidth="1"/>
  </cols>
  <sheetData>
    <row r="3" spans="1:5">
      <c r="A3" s="28" t="s">
        <v>181</v>
      </c>
      <c r="B3" t="s">
        <v>184</v>
      </c>
      <c r="C3" t="s">
        <v>187</v>
      </c>
      <c r="D3" t="s">
        <v>185</v>
      </c>
      <c r="E3" t="s">
        <v>186</v>
      </c>
    </row>
    <row r="4" spans="1:5">
      <c r="A4" s="29" t="s">
        <v>83</v>
      </c>
      <c r="B4" s="30">
        <v>680</v>
      </c>
      <c r="C4" s="30">
        <v>34665.860040283202</v>
      </c>
      <c r="D4" s="30">
        <v>33130.260040283203</v>
      </c>
      <c r="E4" s="30">
        <v>1535.6000000000001</v>
      </c>
    </row>
    <row r="5" spans="1:5">
      <c r="A5" s="29" t="s">
        <v>79</v>
      </c>
      <c r="B5" s="30">
        <v>99</v>
      </c>
      <c r="C5" s="30">
        <v>4841.3999084472662</v>
      </c>
      <c r="D5" s="30">
        <v>4598.9999084472656</v>
      </c>
      <c r="E5" s="30">
        <v>242.4</v>
      </c>
    </row>
    <row r="6" spans="1:5">
      <c r="A6" s="29" t="s">
        <v>74</v>
      </c>
      <c r="B6" s="30">
        <v>349</v>
      </c>
      <c r="C6" s="30">
        <v>26017.599804687499</v>
      </c>
      <c r="D6" s="30">
        <v>25242.7998046875</v>
      </c>
      <c r="E6" s="30">
        <v>774.8</v>
      </c>
    </row>
    <row r="7" spans="1:5">
      <c r="A7" s="29" t="s">
        <v>126</v>
      </c>
      <c r="B7" s="30">
        <v>215</v>
      </c>
      <c r="C7" s="30">
        <v>10736.25</v>
      </c>
      <c r="D7" s="30">
        <v>10304.25</v>
      </c>
      <c r="E7" s="30">
        <v>432</v>
      </c>
    </row>
    <row r="8" spans="1:5">
      <c r="A8" s="29" t="s">
        <v>86</v>
      </c>
      <c r="B8" s="30">
        <v>5</v>
      </c>
      <c r="C8" s="30">
        <v>165</v>
      </c>
      <c r="D8" s="30">
        <v>155</v>
      </c>
      <c r="E8" s="30">
        <v>10</v>
      </c>
    </row>
    <row r="9" spans="1:5">
      <c r="A9" s="29" t="s">
        <v>64</v>
      </c>
      <c r="B9" s="30">
        <v>84</v>
      </c>
      <c r="C9" s="30">
        <v>3066</v>
      </c>
      <c r="D9" s="30">
        <v>2898</v>
      </c>
      <c r="E9" s="30">
        <v>168</v>
      </c>
    </row>
    <row r="10" spans="1:5">
      <c r="A10" s="29" t="s">
        <v>90</v>
      </c>
      <c r="B10" s="30">
        <v>43</v>
      </c>
      <c r="C10" s="30">
        <v>2059.550048828125</v>
      </c>
      <c r="D10" s="30">
        <v>1967.550048828125</v>
      </c>
      <c r="E10" s="30">
        <v>92</v>
      </c>
    </row>
    <row r="11" spans="1:5">
      <c r="A11" s="29" t="s">
        <v>98</v>
      </c>
      <c r="B11" s="30">
        <v>79</v>
      </c>
      <c r="C11" s="30">
        <v>3559.949951171875</v>
      </c>
      <c r="D11" s="30">
        <v>3395.949951171875</v>
      </c>
      <c r="E11" s="30">
        <v>164</v>
      </c>
    </row>
    <row r="12" spans="1:5">
      <c r="A12" s="29" t="s">
        <v>94</v>
      </c>
      <c r="B12" s="30">
        <v>15</v>
      </c>
      <c r="C12" s="30">
        <v>881.9000244140625</v>
      </c>
      <c r="D12" s="30">
        <v>845.9000244140625</v>
      </c>
      <c r="E12" s="30">
        <v>36</v>
      </c>
    </row>
    <row r="13" spans="1:5">
      <c r="A13" s="29" t="s">
        <v>110</v>
      </c>
      <c r="B13" s="30">
        <v>330</v>
      </c>
      <c r="C13" s="30">
        <v>14474.300097656251</v>
      </c>
      <c r="D13" s="30">
        <v>13765.10009765625</v>
      </c>
      <c r="E13" s="30">
        <v>709.2</v>
      </c>
    </row>
    <row r="14" spans="1:5">
      <c r="A14" s="29" t="s">
        <v>182</v>
      </c>
      <c r="B14" s="30"/>
      <c r="C14" s="30"/>
      <c r="D14" s="30"/>
      <c r="E14" s="30"/>
    </row>
    <row r="15" spans="1:5">
      <c r="A15" s="29" t="s">
        <v>183</v>
      </c>
      <c r="B15" s="30">
        <v>1899</v>
      </c>
      <c r="C15" s="30">
        <v>100467.80987548828</v>
      </c>
      <c r="D15" s="30">
        <v>96303.809875488281</v>
      </c>
      <c r="E15" s="30">
        <v>4164</v>
      </c>
    </row>
    <row r="18" spans="1:9">
      <c r="A18" t="s">
        <v>181</v>
      </c>
      <c r="B18" t="s">
        <v>184</v>
      </c>
      <c r="C18" t="s">
        <v>185</v>
      </c>
      <c r="D18" t="s">
        <v>186</v>
      </c>
      <c r="E18" t="s">
        <v>187</v>
      </c>
    </row>
    <row r="19" spans="1:9">
      <c r="A19" t="s">
        <v>83</v>
      </c>
      <c r="B19">
        <v>680</v>
      </c>
      <c r="C19" s="31">
        <v>33130.260040283203</v>
      </c>
      <c r="D19" s="31">
        <v>1535.6000000000001</v>
      </c>
      <c r="E19" s="31">
        <v>34665.860040283202</v>
      </c>
      <c r="G19" s="32">
        <v>33130.260040283203</v>
      </c>
      <c r="H19" s="32"/>
      <c r="I19" s="32"/>
    </row>
    <row r="20" spans="1:9">
      <c r="A20" t="s">
        <v>79</v>
      </c>
      <c r="B20">
        <v>99</v>
      </c>
      <c r="C20" s="31">
        <v>4598.9999084472656</v>
      </c>
      <c r="D20" s="31">
        <v>242.4</v>
      </c>
      <c r="E20" s="31">
        <v>4841.3999084472662</v>
      </c>
      <c r="G20" s="32">
        <v>4598.9999084472656</v>
      </c>
      <c r="H20" s="32"/>
      <c r="I20" s="32"/>
    </row>
    <row r="21" spans="1:9">
      <c r="A21" t="s">
        <v>74</v>
      </c>
      <c r="B21">
        <v>349</v>
      </c>
      <c r="C21" s="31">
        <v>25242.7998046875</v>
      </c>
      <c r="D21" s="31">
        <v>774.8</v>
      </c>
      <c r="E21" s="31">
        <v>26017.599804687499</v>
      </c>
      <c r="G21" s="32">
        <v>25242.7998046875</v>
      </c>
      <c r="H21" s="32"/>
      <c r="I21" s="32"/>
    </row>
    <row r="22" spans="1:9">
      <c r="A22" t="s">
        <v>126</v>
      </c>
      <c r="B22">
        <v>215</v>
      </c>
      <c r="C22" s="31">
        <v>10304.25</v>
      </c>
      <c r="D22" s="31">
        <v>432</v>
      </c>
      <c r="E22" s="31">
        <v>10736.25</v>
      </c>
      <c r="G22" s="32">
        <v>10304.25</v>
      </c>
      <c r="H22" s="32"/>
      <c r="I22" s="32"/>
    </row>
    <row r="23" spans="1:9">
      <c r="A23" t="s">
        <v>86</v>
      </c>
      <c r="B23">
        <v>5</v>
      </c>
      <c r="C23" s="31">
        <v>155</v>
      </c>
      <c r="D23" s="31">
        <v>10</v>
      </c>
      <c r="E23" s="31">
        <v>165</v>
      </c>
      <c r="G23" s="32">
        <v>155</v>
      </c>
      <c r="H23" s="32"/>
      <c r="I23" s="32"/>
    </row>
    <row r="24" spans="1:9">
      <c r="A24" t="s">
        <v>64</v>
      </c>
      <c r="B24">
        <v>84</v>
      </c>
      <c r="C24" s="31">
        <v>2898</v>
      </c>
      <c r="D24" s="31">
        <v>168</v>
      </c>
      <c r="E24" s="31">
        <v>3066</v>
      </c>
      <c r="G24" s="32">
        <v>2898</v>
      </c>
      <c r="H24" s="32"/>
      <c r="I24" s="32"/>
    </row>
    <row r="25" spans="1:9">
      <c r="A25" t="s">
        <v>90</v>
      </c>
      <c r="B25">
        <v>43</v>
      </c>
      <c r="C25" s="31">
        <v>1967.550048828125</v>
      </c>
      <c r="D25" s="31">
        <v>92</v>
      </c>
      <c r="E25" s="31">
        <v>2059.550048828125</v>
      </c>
      <c r="G25" s="32">
        <v>1967.550048828125</v>
      </c>
      <c r="H25" s="32"/>
      <c r="I25" s="32"/>
    </row>
    <row r="26" spans="1:9">
      <c r="A26" t="s">
        <v>98</v>
      </c>
      <c r="B26">
        <v>79</v>
      </c>
      <c r="C26" s="31">
        <v>3395.949951171875</v>
      </c>
      <c r="D26" s="31">
        <v>164</v>
      </c>
      <c r="E26" s="31">
        <v>3559.949951171875</v>
      </c>
      <c r="G26" s="32">
        <v>3395.949951171875</v>
      </c>
      <c r="H26" s="32"/>
      <c r="I26" s="32"/>
    </row>
    <row r="27" spans="1:9">
      <c r="A27" t="s">
        <v>94</v>
      </c>
      <c r="B27">
        <v>15</v>
      </c>
      <c r="C27" s="31">
        <v>845.9000244140625</v>
      </c>
      <c r="D27" s="31">
        <v>36</v>
      </c>
      <c r="E27" s="31">
        <v>881.9000244140625</v>
      </c>
      <c r="G27" s="32">
        <v>845.9000244140625</v>
      </c>
      <c r="H27" s="32"/>
      <c r="I27" s="32"/>
    </row>
    <row r="28" spans="1:9">
      <c r="A28" t="s">
        <v>110</v>
      </c>
      <c r="B28">
        <v>330</v>
      </c>
      <c r="C28" s="31">
        <v>13765.10009765625</v>
      </c>
      <c r="D28" s="31">
        <v>709.2</v>
      </c>
      <c r="E28" s="31">
        <v>14474.300097656251</v>
      </c>
      <c r="G28" s="32">
        <v>13765.10009765625</v>
      </c>
      <c r="H28" s="32"/>
      <c r="I28" s="32"/>
    </row>
    <row r="29" spans="1:9">
      <c r="A29" t="s">
        <v>182</v>
      </c>
      <c r="C29" s="31"/>
      <c r="D29" s="31"/>
      <c r="E29" s="31"/>
    </row>
    <row r="30" spans="1:9">
      <c r="A30" t="s">
        <v>183</v>
      </c>
      <c r="B30">
        <v>1899</v>
      </c>
      <c r="C30" s="31">
        <v>96303.809875488281</v>
      </c>
      <c r="D30" s="31">
        <v>4164</v>
      </c>
      <c r="E30" s="31">
        <v>100467.80987548828</v>
      </c>
    </row>
  </sheetData>
  <mergeCells count="10">
    <mergeCell ref="G25:I25"/>
    <mergeCell ref="G26:I26"/>
    <mergeCell ref="G27:I27"/>
    <mergeCell ref="G28:I28"/>
    <mergeCell ref="G19:I19"/>
    <mergeCell ref="G20:I20"/>
    <mergeCell ref="G21:I21"/>
    <mergeCell ref="G22:I22"/>
    <mergeCell ref="G23:I23"/>
    <mergeCell ref="G24:I24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2"/>
  <sheetViews>
    <sheetView tabSelected="1" workbookViewId="0">
      <selection activeCell="D7" sqref="D7"/>
    </sheetView>
  </sheetViews>
  <sheetFormatPr defaultRowHeight="14.25"/>
  <cols>
    <col min="5" max="5" width="37.5" bestFit="1" customWidth="1"/>
  </cols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2025</v>
      </c>
      <c r="B2" s="2">
        <v>6</v>
      </c>
      <c r="C2" s="2">
        <v>3</v>
      </c>
      <c r="D2" s="2">
        <v>799957</v>
      </c>
      <c r="E2" s="1" t="s">
        <v>59</v>
      </c>
      <c r="F2" s="1" t="s">
        <v>60</v>
      </c>
      <c r="G2" s="1" t="s">
        <v>61</v>
      </c>
      <c r="H2" s="1" t="s">
        <v>62</v>
      </c>
      <c r="I2" s="1" t="s">
        <v>63</v>
      </c>
      <c r="J2" s="1" t="s">
        <v>64</v>
      </c>
      <c r="K2" s="1" t="s">
        <v>65</v>
      </c>
      <c r="L2" s="1" t="s">
        <v>66</v>
      </c>
      <c r="M2" s="1" t="s">
        <v>67</v>
      </c>
      <c r="N2" s="1" t="s">
        <v>68</v>
      </c>
      <c r="O2" s="1" t="s">
        <v>69</v>
      </c>
      <c r="P2" s="1" t="s">
        <v>70</v>
      </c>
      <c r="Q2" s="2">
        <v>84</v>
      </c>
      <c r="R2" s="2">
        <v>0</v>
      </c>
      <c r="S2" s="2">
        <v>0</v>
      </c>
      <c r="T2" s="2">
        <v>51</v>
      </c>
      <c r="U2" s="2">
        <v>33</v>
      </c>
      <c r="V2" s="2">
        <v>84</v>
      </c>
      <c r="W2" s="2">
        <v>6</v>
      </c>
      <c r="X2" s="2">
        <v>0</v>
      </c>
      <c r="Y2" s="3">
        <v>142.83000183105469</v>
      </c>
      <c r="Z2" s="2">
        <v>0</v>
      </c>
      <c r="AA2" s="2">
        <v>0</v>
      </c>
      <c r="AB2" s="2">
        <v>0</v>
      </c>
      <c r="AC2" s="2">
        <v>2100</v>
      </c>
      <c r="AD2" s="2">
        <v>60</v>
      </c>
      <c r="AE2" s="2">
        <v>0</v>
      </c>
      <c r="AF2" s="2">
        <v>0</v>
      </c>
      <c r="AG2" s="2">
        <v>14</v>
      </c>
      <c r="AH2" s="2">
        <v>0</v>
      </c>
      <c r="AI2" s="2">
        <v>625</v>
      </c>
      <c r="AJ2" s="2">
        <v>0</v>
      </c>
      <c r="AK2" s="2">
        <v>0</v>
      </c>
      <c r="AL2" s="2">
        <v>0</v>
      </c>
      <c r="AM2" s="2">
        <v>99</v>
      </c>
      <c r="AN2" s="2">
        <v>0</v>
      </c>
      <c r="AO2" s="2">
        <v>0</v>
      </c>
      <c r="AP2" s="2">
        <v>0</v>
      </c>
      <c r="AQ2" s="3">
        <v>34.218887329101562</v>
      </c>
      <c r="AR2" s="2">
        <v>0</v>
      </c>
      <c r="AS2" s="2">
        <v>0</v>
      </c>
      <c r="AT2" s="2">
        <v>0</v>
      </c>
      <c r="AU2" s="1" t="s">
        <v>71</v>
      </c>
      <c r="AV2" s="2">
        <v>0</v>
      </c>
      <c r="AW2" s="1" t="s">
        <v>71</v>
      </c>
      <c r="AX2" s="2">
        <v>2898</v>
      </c>
      <c r="AY2" s="2">
        <v>798</v>
      </c>
      <c r="AZ2" s="2">
        <v>2898</v>
      </c>
      <c r="BA2" s="2">
        <v>2898</v>
      </c>
      <c r="BB2" s="2">
        <v>2898</v>
      </c>
      <c r="BC2" s="3">
        <v>168</v>
      </c>
      <c r="BD2" s="3">
        <v>3066</v>
      </c>
      <c r="BE2" s="2">
        <v>0</v>
      </c>
      <c r="BF2" s="3">
        <v>551.88</v>
      </c>
      <c r="BG2" s="3">
        <v>3617.88</v>
      </c>
    </row>
    <row r="3" spans="1:59">
      <c r="A3" s="2">
        <v>2025</v>
      </c>
      <c r="B3" s="2">
        <v>6</v>
      </c>
      <c r="C3" s="2">
        <v>3</v>
      </c>
      <c r="D3" s="2">
        <v>793343</v>
      </c>
      <c r="E3" s="1" t="s">
        <v>72</v>
      </c>
      <c r="F3" s="1" t="s">
        <v>60</v>
      </c>
      <c r="G3" s="1" t="s">
        <v>61</v>
      </c>
      <c r="H3" s="1" t="s">
        <v>73</v>
      </c>
      <c r="I3" s="1" t="s">
        <v>63</v>
      </c>
      <c r="J3" s="1" t="s">
        <v>74</v>
      </c>
      <c r="K3" s="1" t="s">
        <v>65</v>
      </c>
      <c r="L3" s="1" t="s">
        <v>66</v>
      </c>
      <c r="M3" s="1" t="s">
        <v>67</v>
      </c>
      <c r="N3" s="1" t="s">
        <v>68</v>
      </c>
      <c r="O3" s="1" t="s">
        <v>75</v>
      </c>
      <c r="P3" s="1" t="s">
        <v>70</v>
      </c>
      <c r="Q3" s="2">
        <v>163</v>
      </c>
      <c r="R3" s="2">
        <v>0</v>
      </c>
      <c r="S3" s="2">
        <v>0</v>
      </c>
      <c r="T3" s="2">
        <v>112</v>
      </c>
      <c r="U3" s="2">
        <v>51</v>
      </c>
      <c r="V3" s="2">
        <v>163</v>
      </c>
      <c r="W3" s="2">
        <v>7</v>
      </c>
      <c r="X3" s="2">
        <v>0</v>
      </c>
      <c r="Y3" s="3">
        <v>537.6300048828125</v>
      </c>
      <c r="Z3" s="2">
        <v>0</v>
      </c>
      <c r="AA3" s="2">
        <v>0</v>
      </c>
      <c r="AB3" s="2">
        <v>0</v>
      </c>
      <c r="AC3" s="2">
        <v>4075</v>
      </c>
      <c r="AD3" s="2">
        <v>445</v>
      </c>
      <c r="AE3" s="2">
        <v>3280</v>
      </c>
      <c r="AF3" s="2">
        <v>0</v>
      </c>
      <c r="AG3" s="3">
        <v>470.75</v>
      </c>
      <c r="AH3" s="2">
        <v>0</v>
      </c>
      <c r="AI3" s="2">
        <v>2411</v>
      </c>
      <c r="AJ3" s="2">
        <v>0</v>
      </c>
      <c r="AK3" s="2">
        <v>0</v>
      </c>
      <c r="AL3" s="2">
        <v>60</v>
      </c>
      <c r="AM3" s="2">
        <v>153</v>
      </c>
      <c r="AN3" s="2">
        <v>0</v>
      </c>
      <c r="AO3" s="2">
        <v>500</v>
      </c>
      <c r="AP3" s="2">
        <v>0</v>
      </c>
      <c r="AQ3" s="3">
        <v>62.535110473632812</v>
      </c>
      <c r="AR3" s="2">
        <v>0</v>
      </c>
      <c r="AS3" s="2">
        <v>0</v>
      </c>
      <c r="AT3" s="2">
        <v>0</v>
      </c>
      <c r="AU3" s="1" t="s">
        <v>71</v>
      </c>
      <c r="AV3" s="2">
        <v>0</v>
      </c>
      <c r="AW3" s="1" t="s">
        <v>71</v>
      </c>
      <c r="AX3" s="3">
        <v>11394.75</v>
      </c>
      <c r="AY3" s="3">
        <v>7319.75</v>
      </c>
      <c r="AZ3" s="3">
        <v>11394.75</v>
      </c>
      <c r="BA3" s="3">
        <v>11394.75</v>
      </c>
      <c r="BB3" s="3">
        <v>11394.75</v>
      </c>
      <c r="BC3" s="3">
        <v>326</v>
      </c>
      <c r="BD3" s="3">
        <v>11720.75</v>
      </c>
      <c r="BE3" s="2">
        <v>0</v>
      </c>
      <c r="BF3" s="3">
        <v>2109.7350000000001</v>
      </c>
      <c r="BG3" s="3">
        <v>13830.485000000001</v>
      </c>
    </row>
    <row r="4" spans="1:59">
      <c r="A4" s="2">
        <v>2025</v>
      </c>
      <c r="B4" s="2">
        <v>6</v>
      </c>
      <c r="C4" s="2">
        <v>3</v>
      </c>
      <c r="D4" s="2">
        <v>793831</v>
      </c>
      <c r="E4" s="1" t="s">
        <v>76</v>
      </c>
      <c r="F4" s="1" t="s">
        <v>60</v>
      </c>
      <c r="G4" s="1" t="s">
        <v>77</v>
      </c>
      <c r="H4" s="1" t="s">
        <v>78</v>
      </c>
      <c r="I4" s="1" t="s">
        <v>63</v>
      </c>
      <c r="J4" s="1" t="s">
        <v>79</v>
      </c>
      <c r="K4" s="1" t="s">
        <v>65</v>
      </c>
      <c r="L4" s="1" t="s">
        <v>66</v>
      </c>
      <c r="M4" s="1" t="s">
        <v>67</v>
      </c>
      <c r="N4" s="1" t="s">
        <v>68</v>
      </c>
      <c r="O4" s="1" t="s">
        <v>80</v>
      </c>
      <c r="P4" s="1" t="s">
        <v>70</v>
      </c>
      <c r="Q4" s="2">
        <v>4</v>
      </c>
      <c r="R4" s="2">
        <v>0</v>
      </c>
      <c r="S4" s="2">
        <v>0</v>
      </c>
      <c r="T4" s="2">
        <v>4</v>
      </c>
      <c r="U4" s="2">
        <v>0</v>
      </c>
      <c r="V4" s="2">
        <v>4</v>
      </c>
      <c r="W4" s="2">
        <v>1</v>
      </c>
      <c r="X4" s="2">
        <v>0</v>
      </c>
      <c r="Y4" s="3">
        <v>10.260000228881836</v>
      </c>
      <c r="Z4" s="2">
        <v>0</v>
      </c>
      <c r="AA4" s="2">
        <v>0</v>
      </c>
      <c r="AB4" s="2">
        <v>0</v>
      </c>
      <c r="AC4" s="2">
        <v>120</v>
      </c>
      <c r="AD4" s="2">
        <v>30</v>
      </c>
      <c r="AE4" s="2">
        <v>0</v>
      </c>
      <c r="AF4" s="2">
        <v>0</v>
      </c>
      <c r="AG4" s="3">
        <v>10.350000381469727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3">
        <v>2.293055534362793</v>
      </c>
      <c r="AR4" s="2">
        <v>0</v>
      </c>
      <c r="AS4" s="2">
        <v>0</v>
      </c>
      <c r="AT4" s="2">
        <v>0</v>
      </c>
      <c r="AU4" s="1" t="s">
        <v>71</v>
      </c>
      <c r="AV4" s="2">
        <v>0</v>
      </c>
      <c r="AW4" s="1" t="s">
        <v>71</v>
      </c>
      <c r="AX4" s="3">
        <v>160.35000610351562</v>
      </c>
      <c r="AY4" s="3">
        <v>40.349998474121094</v>
      </c>
      <c r="AZ4" s="3">
        <v>160.35000610351562</v>
      </c>
      <c r="BA4" s="3">
        <v>160.35000610351562</v>
      </c>
      <c r="BB4" s="3">
        <v>160.35000610351562</v>
      </c>
      <c r="BC4" s="3">
        <v>9.6</v>
      </c>
      <c r="BD4" s="3">
        <v>169.95000610351562</v>
      </c>
      <c r="BE4" s="2">
        <v>0</v>
      </c>
      <c r="BF4" s="3">
        <v>30.591001098632809</v>
      </c>
      <c r="BG4" s="3">
        <v>200.54100720214842</v>
      </c>
    </row>
    <row r="5" spans="1:59">
      <c r="A5" s="2">
        <v>2025</v>
      </c>
      <c r="B5" s="2">
        <v>6</v>
      </c>
      <c r="C5" s="2">
        <v>3</v>
      </c>
      <c r="D5" s="2">
        <v>753406</v>
      </c>
      <c r="E5" s="1" t="s">
        <v>81</v>
      </c>
      <c r="F5" s="1" t="s">
        <v>60</v>
      </c>
      <c r="G5" s="1" t="s">
        <v>82</v>
      </c>
      <c r="H5" s="1"/>
      <c r="I5" s="1" t="s">
        <v>63</v>
      </c>
      <c r="J5" s="1" t="s">
        <v>83</v>
      </c>
      <c r="K5" s="1" t="s">
        <v>65</v>
      </c>
      <c r="L5" s="1" t="s">
        <v>66</v>
      </c>
      <c r="M5" s="1" t="s">
        <v>67</v>
      </c>
      <c r="N5" s="1" t="s">
        <v>68</v>
      </c>
      <c r="O5" s="1" t="s">
        <v>84</v>
      </c>
      <c r="P5" s="1" t="s">
        <v>70</v>
      </c>
      <c r="Q5" s="2">
        <v>82</v>
      </c>
      <c r="R5" s="2">
        <v>1</v>
      </c>
      <c r="S5" s="2">
        <v>0</v>
      </c>
      <c r="T5" s="2">
        <v>51</v>
      </c>
      <c r="U5" s="2">
        <v>31</v>
      </c>
      <c r="V5" s="2">
        <v>82</v>
      </c>
      <c r="W5" s="2">
        <v>5</v>
      </c>
      <c r="X5" s="2">
        <v>0</v>
      </c>
      <c r="Y5" s="3">
        <v>177.52999877929687</v>
      </c>
      <c r="Z5" s="2">
        <v>0</v>
      </c>
      <c r="AA5" s="2">
        <v>25</v>
      </c>
      <c r="AB5" s="2">
        <v>0</v>
      </c>
      <c r="AC5" s="2">
        <v>2075</v>
      </c>
      <c r="AD5" s="2">
        <v>145</v>
      </c>
      <c r="AE5" s="2">
        <v>150</v>
      </c>
      <c r="AF5" s="2">
        <v>0</v>
      </c>
      <c r="AG5" s="3">
        <v>28.399999618530273</v>
      </c>
      <c r="AH5" s="2">
        <v>0</v>
      </c>
      <c r="AI5" s="2">
        <v>930</v>
      </c>
      <c r="AJ5" s="2">
        <v>0</v>
      </c>
      <c r="AK5" s="2">
        <v>0</v>
      </c>
      <c r="AL5" s="2">
        <v>0</v>
      </c>
      <c r="AM5" s="2">
        <v>93</v>
      </c>
      <c r="AN5" s="2">
        <v>0</v>
      </c>
      <c r="AO5" s="2">
        <v>0</v>
      </c>
      <c r="AP5" s="2">
        <v>0</v>
      </c>
      <c r="AQ5" s="3">
        <v>25.914943695068359</v>
      </c>
      <c r="AR5" s="2">
        <v>300</v>
      </c>
      <c r="AS5" s="2">
        <v>1</v>
      </c>
      <c r="AT5" s="2">
        <v>0</v>
      </c>
      <c r="AU5" s="1" t="s">
        <v>71</v>
      </c>
      <c r="AV5" s="2">
        <v>0</v>
      </c>
      <c r="AW5" s="1" t="s">
        <v>71</v>
      </c>
      <c r="AX5" s="3">
        <v>3421.39990234375</v>
      </c>
      <c r="AY5" s="3">
        <v>1346.4000244140625</v>
      </c>
      <c r="AZ5" s="3">
        <v>3721.39990234375</v>
      </c>
      <c r="BA5" s="3">
        <v>3721.39990234375</v>
      </c>
      <c r="BB5" s="3">
        <v>3721.39990234375</v>
      </c>
      <c r="BC5" s="3">
        <v>166</v>
      </c>
      <c r="BD5" s="3">
        <v>3887.39990234375</v>
      </c>
      <c r="BE5" s="2">
        <v>0</v>
      </c>
      <c r="BF5" s="3">
        <v>699.73198242187493</v>
      </c>
      <c r="BG5" s="3">
        <v>4587.1318847656248</v>
      </c>
    </row>
    <row r="6" spans="1:59">
      <c r="A6" s="2">
        <v>2025</v>
      </c>
      <c r="B6" s="2">
        <v>6</v>
      </c>
      <c r="C6" s="2">
        <v>3</v>
      </c>
      <c r="D6" s="2">
        <v>804059</v>
      </c>
      <c r="E6" s="1" t="s">
        <v>85</v>
      </c>
      <c r="F6" s="1" t="s">
        <v>60</v>
      </c>
      <c r="G6" s="1" t="s">
        <v>61</v>
      </c>
      <c r="H6" s="1"/>
      <c r="I6" s="1" t="s">
        <v>63</v>
      </c>
      <c r="J6" s="1" t="s">
        <v>86</v>
      </c>
      <c r="K6" s="1" t="s">
        <v>65</v>
      </c>
      <c r="L6" s="1" t="s">
        <v>66</v>
      </c>
      <c r="M6" s="1" t="s">
        <v>67</v>
      </c>
      <c r="N6" s="1" t="s">
        <v>68</v>
      </c>
      <c r="O6" s="1" t="s">
        <v>87</v>
      </c>
      <c r="P6" s="1" t="s">
        <v>70</v>
      </c>
      <c r="Q6" s="2">
        <v>5</v>
      </c>
      <c r="R6" s="2">
        <v>0</v>
      </c>
      <c r="S6" s="2">
        <v>0</v>
      </c>
      <c r="T6" s="2">
        <v>5</v>
      </c>
      <c r="U6" s="2">
        <v>0</v>
      </c>
      <c r="V6" s="2">
        <v>5</v>
      </c>
      <c r="W6" s="2">
        <v>2</v>
      </c>
      <c r="X6" s="2">
        <v>0</v>
      </c>
      <c r="Y6" s="3">
        <v>11.220000267028809</v>
      </c>
      <c r="Z6" s="2">
        <v>0</v>
      </c>
      <c r="AA6" s="2">
        <v>0</v>
      </c>
      <c r="AB6" s="2">
        <v>0</v>
      </c>
      <c r="AC6" s="2">
        <v>125</v>
      </c>
      <c r="AD6" s="2">
        <v>30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3">
        <v>3.6209444999694824</v>
      </c>
      <c r="AR6" s="2">
        <v>0</v>
      </c>
      <c r="AS6" s="2">
        <v>0</v>
      </c>
      <c r="AT6" s="2">
        <v>0</v>
      </c>
      <c r="AU6" s="1" t="s">
        <v>71</v>
      </c>
      <c r="AV6" s="2">
        <v>0</v>
      </c>
      <c r="AW6" s="1" t="s">
        <v>71</v>
      </c>
      <c r="AX6" s="2">
        <v>155</v>
      </c>
      <c r="AY6" s="2">
        <v>30</v>
      </c>
      <c r="AZ6" s="2">
        <v>155</v>
      </c>
      <c r="BA6" s="2">
        <v>155</v>
      </c>
      <c r="BB6" s="2">
        <v>155</v>
      </c>
      <c r="BC6" s="3">
        <v>10</v>
      </c>
      <c r="BD6" s="3">
        <v>165</v>
      </c>
      <c r="BE6" s="2">
        <v>0</v>
      </c>
      <c r="BF6" s="3">
        <v>29.7</v>
      </c>
      <c r="BG6" s="3">
        <v>194.7</v>
      </c>
    </row>
    <row r="7" spans="1:59">
      <c r="A7" s="2">
        <v>2025</v>
      </c>
      <c r="B7" s="2">
        <v>6</v>
      </c>
      <c r="C7" s="2">
        <v>3</v>
      </c>
      <c r="D7" s="2">
        <v>803461</v>
      </c>
      <c r="E7" s="1" t="s">
        <v>88</v>
      </c>
      <c r="F7" s="1" t="s">
        <v>60</v>
      </c>
      <c r="G7" s="1" t="s">
        <v>61</v>
      </c>
      <c r="H7" s="1" t="s">
        <v>89</v>
      </c>
      <c r="I7" s="1" t="s">
        <v>63</v>
      </c>
      <c r="J7" s="1" t="s">
        <v>90</v>
      </c>
      <c r="K7" s="1" t="s">
        <v>65</v>
      </c>
      <c r="L7" s="1" t="s">
        <v>66</v>
      </c>
      <c r="M7" s="1" t="s">
        <v>67</v>
      </c>
      <c r="N7" s="1" t="s">
        <v>68</v>
      </c>
      <c r="O7" s="1" t="s">
        <v>91</v>
      </c>
      <c r="P7" s="1" t="s">
        <v>70</v>
      </c>
      <c r="Q7" s="2">
        <v>43</v>
      </c>
      <c r="R7" s="2">
        <v>3</v>
      </c>
      <c r="S7" s="2">
        <v>0</v>
      </c>
      <c r="T7" s="2">
        <v>33</v>
      </c>
      <c r="U7" s="2">
        <v>10</v>
      </c>
      <c r="V7" s="2">
        <v>43</v>
      </c>
      <c r="W7" s="2">
        <v>6</v>
      </c>
      <c r="X7" s="2">
        <v>0</v>
      </c>
      <c r="Y7" s="3">
        <v>128.88999938964844</v>
      </c>
      <c r="Z7" s="2">
        <v>0</v>
      </c>
      <c r="AA7" s="2">
        <v>75</v>
      </c>
      <c r="AB7" s="2">
        <v>0</v>
      </c>
      <c r="AC7" s="2">
        <v>1150</v>
      </c>
      <c r="AD7" s="2">
        <v>85</v>
      </c>
      <c r="AE7" s="2">
        <v>460</v>
      </c>
      <c r="AF7" s="2">
        <v>0</v>
      </c>
      <c r="AG7" s="3">
        <v>141.55000305175781</v>
      </c>
      <c r="AH7" s="2">
        <v>0</v>
      </c>
      <c r="AI7" s="2">
        <v>65</v>
      </c>
      <c r="AJ7" s="2">
        <v>0</v>
      </c>
      <c r="AK7" s="2">
        <v>0</v>
      </c>
      <c r="AL7" s="2">
        <v>30</v>
      </c>
      <c r="AM7" s="2">
        <v>36</v>
      </c>
      <c r="AN7" s="2">
        <v>0</v>
      </c>
      <c r="AO7" s="2">
        <v>0</v>
      </c>
      <c r="AP7" s="2">
        <v>0</v>
      </c>
      <c r="AQ7" s="3">
        <v>23.971000671386719</v>
      </c>
      <c r="AR7" s="2">
        <v>0</v>
      </c>
      <c r="AS7" s="2">
        <v>0</v>
      </c>
      <c r="AT7" s="2">
        <v>0</v>
      </c>
      <c r="AU7" s="1" t="s">
        <v>71</v>
      </c>
      <c r="AV7" s="2">
        <v>0</v>
      </c>
      <c r="AW7" s="1" t="s">
        <v>71</v>
      </c>
      <c r="AX7" s="3">
        <v>1967.550048828125</v>
      </c>
      <c r="AY7" s="3">
        <v>817.54998779296875</v>
      </c>
      <c r="AZ7" s="3">
        <v>1967.550048828125</v>
      </c>
      <c r="BA7" s="3">
        <v>1967.550048828125</v>
      </c>
      <c r="BB7" s="3">
        <v>1967.550048828125</v>
      </c>
      <c r="BC7" s="3">
        <v>92</v>
      </c>
      <c r="BD7" s="3">
        <v>2059.550048828125</v>
      </c>
      <c r="BE7" s="2">
        <v>0</v>
      </c>
      <c r="BF7" s="3">
        <v>370.71900878906251</v>
      </c>
      <c r="BG7" s="3">
        <v>2430.2690576171876</v>
      </c>
    </row>
    <row r="8" spans="1:59">
      <c r="A8" s="2">
        <v>2025</v>
      </c>
      <c r="B8" s="2">
        <v>6</v>
      </c>
      <c r="C8" s="2">
        <v>3</v>
      </c>
      <c r="D8" s="2">
        <v>803593</v>
      </c>
      <c r="E8" s="1" t="s">
        <v>92</v>
      </c>
      <c r="F8" s="1" t="s">
        <v>60</v>
      </c>
      <c r="G8" s="1" t="s">
        <v>77</v>
      </c>
      <c r="H8" s="1" t="s">
        <v>93</v>
      </c>
      <c r="I8" s="1" t="s">
        <v>63</v>
      </c>
      <c r="J8" s="1" t="s">
        <v>94</v>
      </c>
      <c r="K8" s="1" t="s">
        <v>65</v>
      </c>
      <c r="L8" s="1" t="s">
        <v>66</v>
      </c>
      <c r="M8" s="1" t="s">
        <v>67</v>
      </c>
      <c r="N8" s="1" t="s">
        <v>68</v>
      </c>
      <c r="O8" s="1" t="s">
        <v>95</v>
      </c>
      <c r="P8" s="1" t="s">
        <v>70</v>
      </c>
      <c r="Q8" s="2">
        <v>15</v>
      </c>
      <c r="R8" s="2">
        <v>0</v>
      </c>
      <c r="S8" s="2">
        <v>0</v>
      </c>
      <c r="T8" s="2">
        <v>15</v>
      </c>
      <c r="U8" s="2">
        <v>0</v>
      </c>
      <c r="V8" s="2">
        <v>15</v>
      </c>
      <c r="W8" s="2">
        <v>2</v>
      </c>
      <c r="X8" s="2">
        <v>0</v>
      </c>
      <c r="Y8" s="3">
        <v>28.579999923706055</v>
      </c>
      <c r="Z8" s="2">
        <v>0</v>
      </c>
      <c r="AA8" s="2">
        <v>0</v>
      </c>
      <c r="AB8" s="2">
        <v>0</v>
      </c>
      <c r="AC8" s="2">
        <v>450</v>
      </c>
      <c r="AD8" s="2">
        <v>10</v>
      </c>
      <c r="AE8" s="2">
        <v>300</v>
      </c>
      <c r="AF8" s="2">
        <v>0</v>
      </c>
      <c r="AG8" s="3">
        <v>0.89999997615814209</v>
      </c>
      <c r="AH8" s="2">
        <v>0</v>
      </c>
      <c r="AI8" s="2">
        <v>55</v>
      </c>
      <c r="AJ8" s="2">
        <v>0</v>
      </c>
      <c r="AK8" s="2">
        <v>0</v>
      </c>
      <c r="AL8" s="2">
        <v>30</v>
      </c>
      <c r="AM8" s="2">
        <v>0</v>
      </c>
      <c r="AN8" s="2">
        <v>0</v>
      </c>
      <c r="AO8" s="2">
        <v>0</v>
      </c>
      <c r="AP8" s="2">
        <v>0</v>
      </c>
      <c r="AQ8" s="3">
        <v>8.3346672058105469</v>
      </c>
      <c r="AR8" s="2">
        <v>0</v>
      </c>
      <c r="AS8" s="2">
        <v>0</v>
      </c>
      <c r="AT8" s="2">
        <v>0</v>
      </c>
      <c r="AU8" s="1" t="s">
        <v>71</v>
      </c>
      <c r="AV8" s="2">
        <v>0</v>
      </c>
      <c r="AW8" s="1" t="s">
        <v>71</v>
      </c>
      <c r="AX8" s="3">
        <v>845.9000244140625</v>
      </c>
      <c r="AY8" s="3">
        <v>395.89999389648438</v>
      </c>
      <c r="AZ8" s="3">
        <v>845.9000244140625</v>
      </c>
      <c r="BA8" s="3">
        <v>845.9000244140625</v>
      </c>
      <c r="BB8" s="3">
        <v>845.9000244140625</v>
      </c>
      <c r="BC8" s="3">
        <v>36</v>
      </c>
      <c r="BD8" s="3">
        <v>881.9000244140625</v>
      </c>
      <c r="BE8" s="2">
        <v>0</v>
      </c>
      <c r="BF8" s="3">
        <v>158.74200439453125</v>
      </c>
      <c r="BG8" s="3">
        <v>1040.6420288085937</v>
      </c>
    </row>
    <row r="9" spans="1:59">
      <c r="A9" s="2">
        <v>2025</v>
      </c>
      <c r="B9" s="2">
        <v>6</v>
      </c>
      <c r="C9" s="2">
        <v>3</v>
      </c>
      <c r="D9" s="2">
        <v>780996</v>
      </c>
      <c r="E9" s="1" t="s">
        <v>96</v>
      </c>
      <c r="F9" s="1" t="s">
        <v>60</v>
      </c>
      <c r="G9" s="1" t="s">
        <v>82</v>
      </c>
      <c r="H9" s="1" t="s">
        <v>97</v>
      </c>
      <c r="I9" s="1" t="s">
        <v>63</v>
      </c>
      <c r="J9" s="1" t="s">
        <v>98</v>
      </c>
      <c r="K9" s="1" t="s">
        <v>65</v>
      </c>
      <c r="L9" s="1" t="s">
        <v>66</v>
      </c>
      <c r="M9" s="1" t="s">
        <v>67</v>
      </c>
      <c r="N9" s="1" t="s">
        <v>68</v>
      </c>
      <c r="O9" s="1" t="s">
        <v>99</v>
      </c>
      <c r="P9" s="1" t="s">
        <v>70</v>
      </c>
      <c r="Q9" s="2">
        <v>79</v>
      </c>
      <c r="R9" s="2">
        <v>3</v>
      </c>
      <c r="S9" s="2">
        <v>0</v>
      </c>
      <c r="T9" s="2">
        <v>63</v>
      </c>
      <c r="U9" s="2">
        <v>16</v>
      </c>
      <c r="V9" s="2">
        <v>79</v>
      </c>
      <c r="W9" s="2">
        <v>4</v>
      </c>
      <c r="X9" s="2">
        <v>0</v>
      </c>
      <c r="Y9" s="3">
        <v>178.38999938964844</v>
      </c>
      <c r="Z9" s="2">
        <v>0</v>
      </c>
      <c r="AA9" s="2">
        <v>75</v>
      </c>
      <c r="AB9" s="2">
        <v>0</v>
      </c>
      <c r="AC9" s="2">
        <v>2050</v>
      </c>
      <c r="AD9" s="2">
        <v>40</v>
      </c>
      <c r="AE9" s="2">
        <v>200</v>
      </c>
      <c r="AF9" s="2">
        <v>0</v>
      </c>
      <c r="AG9" s="3">
        <v>138.94999694824219</v>
      </c>
      <c r="AH9" s="2">
        <v>0</v>
      </c>
      <c r="AI9" s="2">
        <v>918</v>
      </c>
      <c r="AJ9" s="2">
        <v>0</v>
      </c>
      <c r="AK9" s="2">
        <v>0</v>
      </c>
      <c r="AL9" s="2">
        <v>0</v>
      </c>
      <c r="AM9" s="2">
        <v>48</v>
      </c>
      <c r="AN9" s="2">
        <v>0</v>
      </c>
      <c r="AO9" s="2">
        <v>0</v>
      </c>
      <c r="AP9" s="2">
        <v>0</v>
      </c>
      <c r="AQ9" s="3">
        <v>25.974443435668945</v>
      </c>
      <c r="AR9" s="2">
        <v>0</v>
      </c>
      <c r="AS9" s="2">
        <v>0</v>
      </c>
      <c r="AT9" s="2">
        <v>1</v>
      </c>
      <c r="AU9" s="1" t="s">
        <v>100</v>
      </c>
      <c r="AV9" s="2">
        <v>0</v>
      </c>
      <c r="AW9" s="1" t="s">
        <v>71</v>
      </c>
      <c r="AX9" s="3">
        <v>3394.949951171875</v>
      </c>
      <c r="AY9" s="3">
        <v>1344.949951171875</v>
      </c>
      <c r="AZ9" s="3">
        <v>3394.949951171875</v>
      </c>
      <c r="BA9" s="3">
        <v>3395.949951171875</v>
      </c>
      <c r="BB9" s="3">
        <v>3395.949951171875</v>
      </c>
      <c r="BC9" s="3">
        <v>164</v>
      </c>
      <c r="BD9" s="3">
        <v>3559.949951171875</v>
      </c>
      <c r="BE9" s="2">
        <v>0</v>
      </c>
      <c r="BF9" s="3">
        <v>640.79099121093748</v>
      </c>
      <c r="BG9" s="3">
        <v>4200.7409423828121</v>
      </c>
    </row>
    <row r="10" spans="1:59">
      <c r="A10" s="2">
        <v>2025</v>
      </c>
      <c r="B10" s="2">
        <v>6</v>
      </c>
      <c r="C10" s="2">
        <v>3</v>
      </c>
      <c r="D10" s="2">
        <v>801108</v>
      </c>
      <c r="E10" s="1" t="s">
        <v>101</v>
      </c>
      <c r="F10" s="1" t="s">
        <v>60</v>
      </c>
      <c r="G10" s="1" t="s">
        <v>82</v>
      </c>
      <c r="H10" s="1" t="s">
        <v>102</v>
      </c>
      <c r="I10" s="1" t="s">
        <v>63</v>
      </c>
      <c r="J10" s="1" t="s">
        <v>83</v>
      </c>
      <c r="K10" s="1" t="s">
        <v>65</v>
      </c>
      <c r="L10" s="1" t="s">
        <v>66</v>
      </c>
      <c r="M10" s="1" t="s">
        <v>67</v>
      </c>
      <c r="N10" s="1" t="s">
        <v>68</v>
      </c>
      <c r="O10" s="1" t="s">
        <v>84</v>
      </c>
      <c r="P10" s="1" t="s">
        <v>70</v>
      </c>
      <c r="Q10" s="2">
        <v>15</v>
      </c>
      <c r="R10" s="2">
        <v>0</v>
      </c>
      <c r="S10" s="2">
        <v>0</v>
      </c>
      <c r="T10" s="2">
        <v>0</v>
      </c>
      <c r="U10" s="2">
        <v>15</v>
      </c>
      <c r="V10" s="2">
        <v>15</v>
      </c>
      <c r="W10" s="2">
        <v>1</v>
      </c>
      <c r="X10" s="2">
        <v>0</v>
      </c>
      <c r="Y10" s="3">
        <v>30.399999618530273</v>
      </c>
      <c r="Z10" s="2">
        <v>0</v>
      </c>
      <c r="AA10" s="2">
        <v>0</v>
      </c>
      <c r="AB10" s="2">
        <v>0</v>
      </c>
      <c r="AC10" s="2">
        <v>375</v>
      </c>
      <c r="AD10" s="2">
        <v>15</v>
      </c>
      <c r="AE10" s="2">
        <v>0</v>
      </c>
      <c r="AF10" s="2">
        <v>0</v>
      </c>
      <c r="AG10" s="3">
        <v>5.000000074505806E-2</v>
      </c>
      <c r="AH10" s="2">
        <v>0</v>
      </c>
      <c r="AI10" s="2">
        <v>75</v>
      </c>
      <c r="AJ10" s="2">
        <v>0</v>
      </c>
      <c r="AK10" s="2">
        <v>0</v>
      </c>
      <c r="AL10" s="2">
        <v>0</v>
      </c>
      <c r="AM10" s="2">
        <v>45</v>
      </c>
      <c r="AN10" s="2">
        <v>0</v>
      </c>
      <c r="AO10" s="2">
        <v>0</v>
      </c>
      <c r="AP10" s="2">
        <v>0</v>
      </c>
      <c r="AQ10" s="3">
        <v>5.3769445419311523</v>
      </c>
      <c r="AR10" s="2">
        <v>0</v>
      </c>
      <c r="AS10" s="2">
        <v>0</v>
      </c>
      <c r="AT10" s="2">
        <v>0</v>
      </c>
      <c r="AU10" s="1" t="s">
        <v>71</v>
      </c>
      <c r="AV10" s="2">
        <v>0</v>
      </c>
      <c r="AW10" s="1" t="s">
        <v>71</v>
      </c>
      <c r="AX10" s="3">
        <v>510.04998779296875</v>
      </c>
      <c r="AY10" s="3">
        <v>135.05000305175781</v>
      </c>
      <c r="AZ10" s="3">
        <v>510.04998779296875</v>
      </c>
      <c r="BA10" s="3">
        <v>510.04998779296875</v>
      </c>
      <c r="BB10" s="3">
        <v>510.04998779296875</v>
      </c>
      <c r="BC10" s="3">
        <v>30</v>
      </c>
      <c r="BD10" s="3">
        <v>540.04998779296875</v>
      </c>
      <c r="BE10" s="2">
        <v>0</v>
      </c>
      <c r="BF10" s="3">
        <v>97.208997802734373</v>
      </c>
      <c r="BG10" s="3">
        <v>637.25898559570317</v>
      </c>
    </row>
    <row r="11" spans="1:59">
      <c r="A11" s="2">
        <v>2025</v>
      </c>
      <c r="B11" s="2">
        <v>6</v>
      </c>
      <c r="C11" s="2">
        <v>3</v>
      </c>
      <c r="D11" s="2">
        <v>804000</v>
      </c>
      <c r="E11" s="1" t="s">
        <v>103</v>
      </c>
      <c r="F11" s="1" t="s">
        <v>60</v>
      </c>
      <c r="G11" s="1" t="s">
        <v>77</v>
      </c>
      <c r="H11" s="1"/>
      <c r="I11" s="1" t="s">
        <v>63</v>
      </c>
      <c r="J11" s="1" t="s">
        <v>83</v>
      </c>
      <c r="K11" s="1" t="s">
        <v>65</v>
      </c>
      <c r="L11" s="1" t="s">
        <v>66</v>
      </c>
      <c r="M11" s="1" t="s">
        <v>67</v>
      </c>
      <c r="N11" s="1" t="s">
        <v>68</v>
      </c>
      <c r="O11" s="1" t="s">
        <v>104</v>
      </c>
      <c r="P11" s="1" t="s">
        <v>70</v>
      </c>
      <c r="Q11" s="2">
        <v>151</v>
      </c>
      <c r="R11" s="2">
        <v>5</v>
      </c>
      <c r="S11" s="2">
        <v>0</v>
      </c>
      <c r="T11" s="2">
        <v>121</v>
      </c>
      <c r="U11" s="2">
        <v>30</v>
      </c>
      <c r="V11" s="2">
        <v>151</v>
      </c>
      <c r="W11" s="2">
        <v>7</v>
      </c>
      <c r="X11" s="2">
        <v>0</v>
      </c>
      <c r="Y11" s="3">
        <v>338.45001220703125</v>
      </c>
      <c r="Z11" s="2">
        <v>0</v>
      </c>
      <c r="AA11" s="2">
        <v>150</v>
      </c>
      <c r="AB11" s="2">
        <v>0</v>
      </c>
      <c r="AC11" s="2">
        <v>4680</v>
      </c>
      <c r="AD11" s="2">
        <v>460</v>
      </c>
      <c r="AE11" s="2">
        <v>0</v>
      </c>
      <c r="AF11" s="2">
        <v>0</v>
      </c>
      <c r="AG11" s="3">
        <v>81.050003051757813</v>
      </c>
      <c r="AH11" s="2">
        <v>0</v>
      </c>
      <c r="AI11" s="2">
        <v>1894</v>
      </c>
      <c r="AJ11" s="2">
        <v>0</v>
      </c>
      <c r="AK11" s="2">
        <v>0</v>
      </c>
      <c r="AL11" s="2">
        <v>0</v>
      </c>
      <c r="AM11" s="2">
        <v>90</v>
      </c>
      <c r="AN11" s="2">
        <v>0</v>
      </c>
      <c r="AO11" s="2">
        <v>500</v>
      </c>
      <c r="AP11" s="2">
        <v>0</v>
      </c>
      <c r="AQ11" s="3">
        <v>57.912498474121094</v>
      </c>
      <c r="AR11" s="2">
        <v>300</v>
      </c>
      <c r="AS11" s="2">
        <v>1</v>
      </c>
      <c r="AT11" s="2">
        <v>0</v>
      </c>
      <c r="AU11" s="1" t="s">
        <v>71</v>
      </c>
      <c r="AV11" s="3">
        <v>202.69999694824219</v>
      </c>
      <c r="AW11" s="1" t="s">
        <v>105</v>
      </c>
      <c r="AX11" s="3">
        <v>7705.0498046875</v>
      </c>
      <c r="AY11" s="3">
        <v>3025.050048828125</v>
      </c>
      <c r="AZ11" s="3">
        <v>8005.0498046875</v>
      </c>
      <c r="BA11" s="3">
        <v>8005.0498046875</v>
      </c>
      <c r="BB11" s="3">
        <v>7802.35009765625</v>
      </c>
      <c r="BC11" s="3">
        <v>374.40000000000003</v>
      </c>
      <c r="BD11" s="3">
        <v>8176.7500976562496</v>
      </c>
      <c r="BE11" s="2">
        <v>0</v>
      </c>
      <c r="BF11" s="3">
        <v>1471.815017578125</v>
      </c>
      <c r="BG11" s="3">
        <v>9648.5651152343744</v>
      </c>
    </row>
    <row r="12" spans="1:59">
      <c r="A12" s="2">
        <v>2025</v>
      </c>
      <c r="B12" s="2">
        <v>6</v>
      </c>
      <c r="C12" s="2">
        <v>3</v>
      </c>
      <c r="D12" s="2">
        <v>784832</v>
      </c>
      <c r="E12" s="1" t="s">
        <v>106</v>
      </c>
      <c r="F12" s="1" t="s">
        <v>60</v>
      </c>
      <c r="G12" s="1" t="s">
        <v>77</v>
      </c>
      <c r="H12" s="1" t="s">
        <v>107</v>
      </c>
      <c r="I12" s="1" t="s">
        <v>63</v>
      </c>
      <c r="J12" s="1" t="s">
        <v>83</v>
      </c>
      <c r="K12" s="1" t="s">
        <v>65</v>
      </c>
      <c r="L12" s="1" t="s">
        <v>66</v>
      </c>
      <c r="M12" s="1" t="s">
        <v>67</v>
      </c>
      <c r="N12" s="1" t="s">
        <v>68</v>
      </c>
      <c r="O12" s="1" t="s">
        <v>104</v>
      </c>
      <c r="P12" s="1" t="s">
        <v>70</v>
      </c>
      <c r="Q12" s="2">
        <v>183</v>
      </c>
      <c r="R12" s="2">
        <v>4</v>
      </c>
      <c r="S12" s="2">
        <v>0</v>
      </c>
      <c r="T12" s="2">
        <v>130</v>
      </c>
      <c r="U12" s="2">
        <v>53</v>
      </c>
      <c r="V12" s="2">
        <v>183</v>
      </c>
      <c r="W12" s="2">
        <v>7</v>
      </c>
      <c r="X12" s="2">
        <v>0</v>
      </c>
      <c r="Y12" s="3">
        <v>397.47000122070313</v>
      </c>
      <c r="Z12" s="2">
        <v>0</v>
      </c>
      <c r="AA12" s="2">
        <v>120</v>
      </c>
      <c r="AB12" s="2">
        <v>0</v>
      </c>
      <c r="AC12" s="2">
        <v>5610</v>
      </c>
      <c r="AD12" s="2">
        <v>545</v>
      </c>
      <c r="AE12" s="2">
        <v>0</v>
      </c>
      <c r="AF12" s="2">
        <v>0</v>
      </c>
      <c r="AG12" s="3">
        <v>82.550003051757813</v>
      </c>
      <c r="AH12" s="2">
        <v>0</v>
      </c>
      <c r="AI12" s="2">
        <v>2628</v>
      </c>
      <c r="AJ12" s="2">
        <v>0</v>
      </c>
      <c r="AK12" s="2">
        <v>0</v>
      </c>
      <c r="AL12" s="2">
        <v>0</v>
      </c>
      <c r="AM12" s="2">
        <v>159</v>
      </c>
      <c r="AN12" s="2">
        <v>0</v>
      </c>
      <c r="AO12" s="2">
        <v>500</v>
      </c>
      <c r="AP12" s="2">
        <v>0</v>
      </c>
      <c r="AQ12" s="3">
        <v>61.712444305419922</v>
      </c>
      <c r="AR12" s="2">
        <v>600</v>
      </c>
      <c r="AS12" s="2">
        <v>2</v>
      </c>
      <c r="AT12" s="2">
        <v>0</v>
      </c>
      <c r="AU12" s="1" t="s">
        <v>71</v>
      </c>
      <c r="AV12" s="2">
        <v>70</v>
      </c>
      <c r="AW12" s="1" t="s">
        <v>108</v>
      </c>
      <c r="AX12" s="3">
        <v>9524.5498046875</v>
      </c>
      <c r="AY12" s="3">
        <v>3914.550048828125</v>
      </c>
      <c r="AZ12" s="3">
        <v>10124.5498046875</v>
      </c>
      <c r="BA12" s="3">
        <v>10124.5498046875</v>
      </c>
      <c r="BB12" s="3">
        <v>10054.5498046875</v>
      </c>
      <c r="BC12" s="3">
        <v>448.8</v>
      </c>
      <c r="BD12" s="3">
        <v>10503.349804687499</v>
      </c>
      <c r="BE12" s="2">
        <v>0</v>
      </c>
      <c r="BF12" s="3">
        <v>1890.6029648437498</v>
      </c>
      <c r="BG12" s="3">
        <v>12393.95276953125</v>
      </c>
    </row>
    <row r="13" spans="1:59">
      <c r="A13" s="2">
        <v>2025</v>
      </c>
      <c r="B13" s="2">
        <v>6</v>
      </c>
      <c r="C13" s="2">
        <v>3</v>
      </c>
      <c r="D13" s="2">
        <v>756144</v>
      </c>
      <c r="E13" s="1" t="s">
        <v>109</v>
      </c>
      <c r="F13" s="1" t="s">
        <v>60</v>
      </c>
      <c r="G13" s="1" t="s">
        <v>77</v>
      </c>
      <c r="H13" s="1"/>
      <c r="I13" s="1" t="s">
        <v>63</v>
      </c>
      <c r="J13" s="1" t="s">
        <v>110</v>
      </c>
      <c r="K13" s="1" t="s">
        <v>65</v>
      </c>
      <c r="L13" s="1" t="s">
        <v>66</v>
      </c>
      <c r="M13" s="1" t="s">
        <v>67</v>
      </c>
      <c r="N13" s="1" t="s">
        <v>68</v>
      </c>
      <c r="O13" s="1" t="s">
        <v>111</v>
      </c>
      <c r="P13" s="1" t="s">
        <v>70</v>
      </c>
      <c r="Q13" s="2">
        <v>103</v>
      </c>
      <c r="R13" s="2">
        <v>0</v>
      </c>
      <c r="S13" s="2">
        <v>0</v>
      </c>
      <c r="T13" s="2">
        <v>56</v>
      </c>
      <c r="U13" s="2">
        <v>47</v>
      </c>
      <c r="V13" s="2">
        <v>103</v>
      </c>
      <c r="W13" s="2">
        <v>6</v>
      </c>
      <c r="X13" s="2">
        <v>0</v>
      </c>
      <c r="Y13" s="3">
        <v>210.74000549316406</v>
      </c>
      <c r="Z13" s="2">
        <v>0</v>
      </c>
      <c r="AA13" s="2">
        <v>0</v>
      </c>
      <c r="AB13" s="2">
        <v>0</v>
      </c>
      <c r="AC13" s="2">
        <v>3090</v>
      </c>
      <c r="AD13" s="2">
        <v>140</v>
      </c>
      <c r="AE13" s="2">
        <v>0</v>
      </c>
      <c r="AF13" s="2">
        <v>0</v>
      </c>
      <c r="AG13" s="3">
        <v>32.349998474121094</v>
      </c>
      <c r="AH13" s="2">
        <v>0</v>
      </c>
      <c r="AI13" s="2">
        <v>1185</v>
      </c>
      <c r="AJ13" s="2">
        <v>0</v>
      </c>
      <c r="AK13" s="2">
        <v>0</v>
      </c>
      <c r="AL13" s="2">
        <v>0</v>
      </c>
      <c r="AM13" s="2">
        <v>147</v>
      </c>
      <c r="AN13" s="2">
        <v>0</v>
      </c>
      <c r="AO13" s="2">
        <v>0</v>
      </c>
      <c r="AP13" s="2">
        <v>0</v>
      </c>
      <c r="AQ13" s="3">
        <v>42.845222473144531</v>
      </c>
      <c r="AR13" s="2">
        <v>0</v>
      </c>
      <c r="AS13" s="2">
        <v>0</v>
      </c>
      <c r="AT13" s="2">
        <v>0</v>
      </c>
      <c r="AU13" s="1" t="s">
        <v>71</v>
      </c>
      <c r="AV13" s="2">
        <v>0</v>
      </c>
      <c r="AW13" s="1" t="s">
        <v>71</v>
      </c>
      <c r="AX13" s="3">
        <v>4594.35009765625</v>
      </c>
      <c r="AY13" s="3">
        <v>1504.3499755859375</v>
      </c>
      <c r="AZ13" s="3">
        <v>4594.35009765625</v>
      </c>
      <c r="BA13" s="3">
        <v>4594.35009765625</v>
      </c>
      <c r="BB13" s="3">
        <v>4594.35009765625</v>
      </c>
      <c r="BC13" s="3">
        <v>247.20000000000002</v>
      </c>
      <c r="BD13" s="3">
        <v>4841.5500976562498</v>
      </c>
      <c r="BE13" s="2">
        <v>0</v>
      </c>
      <c r="BF13" s="3">
        <v>871.47901757812497</v>
      </c>
      <c r="BG13" s="3">
        <v>5713.0291152343743</v>
      </c>
    </row>
    <row r="14" spans="1:59">
      <c r="A14" s="2">
        <v>2025</v>
      </c>
      <c r="B14" s="2">
        <v>6</v>
      </c>
      <c r="C14" s="2">
        <v>3</v>
      </c>
      <c r="D14" s="2">
        <v>804070</v>
      </c>
      <c r="E14" s="1" t="s">
        <v>112</v>
      </c>
      <c r="F14" s="1" t="s">
        <v>60</v>
      </c>
      <c r="G14" s="1" t="s">
        <v>77</v>
      </c>
      <c r="H14" s="1"/>
      <c r="I14" s="1" t="s">
        <v>63</v>
      </c>
      <c r="J14" s="1" t="s">
        <v>83</v>
      </c>
      <c r="K14" s="1" t="s">
        <v>65</v>
      </c>
      <c r="L14" s="1" t="s">
        <v>66</v>
      </c>
      <c r="M14" s="1" t="s">
        <v>67</v>
      </c>
      <c r="N14" s="1" t="s">
        <v>68</v>
      </c>
      <c r="O14" s="1" t="s">
        <v>104</v>
      </c>
      <c r="P14" s="1" t="s">
        <v>70</v>
      </c>
      <c r="Q14" s="2">
        <v>16</v>
      </c>
      <c r="R14" s="2">
        <v>0</v>
      </c>
      <c r="S14" s="2">
        <v>0</v>
      </c>
      <c r="T14" s="2">
        <v>16</v>
      </c>
      <c r="U14" s="2">
        <v>0</v>
      </c>
      <c r="V14" s="2">
        <v>16</v>
      </c>
      <c r="W14" s="2">
        <v>2</v>
      </c>
      <c r="X14" s="2">
        <v>0</v>
      </c>
      <c r="Y14" s="3">
        <v>32.090000152587891</v>
      </c>
      <c r="Z14" s="2">
        <v>0</v>
      </c>
      <c r="AA14" s="2">
        <v>0</v>
      </c>
      <c r="AB14" s="2">
        <v>0</v>
      </c>
      <c r="AC14" s="2">
        <v>480</v>
      </c>
      <c r="AD14" s="2">
        <v>90</v>
      </c>
      <c r="AE14" s="2">
        <v>0</v>
      </c>
      <c r="AF14" s="2">
        <v>0</v>
      </c>
      <c r="AG14" s="3">
        <v>0.80000001192092896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3">
        <v>7.3252224922180176</v>
      </c>
      <c r="AR14" s="2">
        <v>0</v>
      </c>
      <c r="AS14" s="2">
        <v>0</v>
      </c>
      <c r="AT14" s="2">
        <v>0</v>
      </c>
      <c r="AU14" s="1" t="s">
        <v>71</v>
      </c>
      <c r="AV14" s="2">
        <v>0</v>
      </c>
      <c r="AW14" s="1" t="s">
        <v>71</v>
      </c>
      <c r="AX14" s="3">
        <v>570.79998779296875</v>
      </c>
      <c r="AY14" s="3">
        <v>90.800003051757812</v>
      </c>
      <c r="AZ14" s="3">
        <v>570.79998779296875</v>
      </c>
      <c r="BA14" s="3">
        <v>570.79998779296875</v>
      </c>
      <c r="BB14" s="3">
        <v>570.79998779296875</v>
      </c>
      <c r="BC14" s="3">
        <v>38.4</v>
      </c>
      <c r="BD14" s="3">
        <v>609.19998779296873</v>
      </c>
      <c r="BE14" s="2">
        <v>0</v>
      </c>
      <c r="BF14" s="3">
        <v>109.65599780273436</v>
      </c>
      <c r="BG14" s="3">
        <v>718.85598559570303</v>
      </c>
    </row>
    <row r="15" spans="1:59">
      <c r="A15" s="2">
        <v>2025</v>
      </c>
      <c r="B15" s="2">
        <v>6</v>
      </c>
      <c r="C15" s="2">
        <v>3</v>
      </c>
      <c r="D15" s="2">
        <v>786490</v>
      </c>
      <c r="E15" s="1" t="s">
        <v>113</v>
      </c>
      <c r="F15" s="1" t="s">
        <v>60</v>
      </c>
      <c r="G15" s="1" t="s">
        <v>61</v>
      </c>
      <c r="H15" s="1" t="s">
        <v>114</v>
      </c>
      <c r="I15" s="1" t="s">
        <v>63</v>
      </c>
      <c r="J15" s="1" t="s">
        <v>110</v>
      </c>
      <c r="K15" s="1" t="s">
        <v>65</v>
      </c>
      <c r="L15" s="1" t="s">
        <v>66</v>
      </c>
      <c r="M15" s="1" t="s">
        <v>67</v>
      </c>
      <c r="N15" s="1" t="s">
        <v>68</v>
      </c>
      <c r="O15" s="1" t="s">
        <v>115</v>
      </c>
      <c r="P15" s="1" t="s">
        <v>70</v>
      </c>
      <c r="Q15" s="2">
        <v>142</v>
      </c>
      <c r="R15" s="2">
        <v>2</v>
      </c>
      <c r="S15" s="2">
        <v>0</v>
      </c>
      <c r="T15" s="2">
        <v>94</v>
      </c>
      <c r="U15" s="2">
        <v>48</v>
      </c>
      <c r="V15" s="2">
        <v>142</v>
      </c>
      <c r="W15" s="2">
        <v>7</v>
      </c>
      <c r="X15" s="2">
        <v>0</v>
      </c>
      <c r="Y15" s="3">
        <v>284.29000854492187</v>
      </c>
      <c r="Z15" s="2">
        <v>0</v>
      </c>
      <c r="AA15" s="2">
        <v>50</v>
      </c>
      <c r="AB15" s="2">
        <v>0</v>
      </c>
      <c r="AC15" s="2">
        <v>3600</v>
      </c>
      <c r="AD15" s="2">
        <v>250</v>
      </c>
      <c r="AE15" s="2">
        <v>0</v>
      </c>
      <c r="AF15" s="2">
        <v>0</v>
      </c>
      <c r="AG15" s="3">
        <v>67.400001525878906</v>
      </c>
      <c r="AH15" s="2">
        <v>0</v>
      </c>
      <c r="AI15" s="2">
        <v>1713</v>
      </c>
      <c r="AJ15" s="2">
        <v>0</v>
      </c>
      <c r="AK15" s="2">
        <v>0</v>
      </c>
      <c r="AL15" s="2">
        <v>30</v>
      </c>
      <c r="AM15" s="2">
        <v>144</v>
      </c>
      <c r="AN15" s="2">
        <v>0</v>
      </c>
      <c r="AO15" s="2">
        <v>250</v>
      </c>
      <c r="AP15" s="2">
        <v>0</v>
      </c>
      <c r="AQ15" s="3">
        <v>61.903720855712891</v>
      </c>
      <c r="AR15" s="2">
        <v>0</v>
      </c>
      <c r="AS15" s="2">
        <v>0</v>
      </c>
      <c r="AT15" s="2">
        <v>0</v>
      </c>
      <c r="AU15" s="1" t="s">
        <v>71</v>
      </c>
      <c r="AV15" s="2">
        <v>0</v>
      </c>
      <c r="AW15" s="1" t="s">
        <v>71</v>
      </c>
      <c r="AX15" s="3">
        <v>6054.39990234375</v>
      </c>
      <c r="AY15" s="3">
        <v>2454.39990234375</v>
      </c>
      <c r="AZ15" s="3">
        <v>6054.39990234375</v>
      </c>
      <c r="BA15" s="3">
        <v>6054.39990234375</v>
      </c>
      <c r="BB15" s="3">
        <v>6054.39990234375</v>
      </c>
      <c r="BC15" s="3">
        <v>288</v>
      </c>
      <c r="BD15" s="3">
        <v>6342.39990234375</v>
      </c>
      <c r="BE15" s="2">
        <v>0</v>
      </c>
      <c r="BF15" s="3">
        <v>1141.6319824218749</v>
      </c>
      <c r="BG15" s="3">
        <v>7484.0318847656254</v>
      </c>
    </row>
    <row r="16" spans="1:59">
      <c r="A16" s="2">
        <v>2025</v>
      </c>
      <c r="B16" s="2">
        <v>6</v>
      </c>
      <c r="C16" s="2">
        <v>3</v>
      </c>
      <c r="D16" s="2">
        <v>804002</v>
      </c>
      <c r="E16" s="1" t="s">
        <v>116</v>
      </c>
      <c r="F16" s="1" t="s">
        <v>60</v>
      </c>
      <c r="G16" s="1" t="s">
        <v>61</v>
      </c>
      <c r="H16" s="1"/>
      <c r="I16" s="1" t="s">
        <v>63</v>
      </c>
      <c r="J16" s="1" t="s">
        <v>83</v>
      </c>
      <c r="K16" s="1" t="s">
        <v>65</v>
      </c>
      <c r="L16" s="1" t="s">
        <v>66</v>
      </c>
      <c r="M16" s="1" t="s">
        <v>67</v>
      </c>
      <c r="N16" s="1" t="s">
        <v>68</v>
      </c>
      <c r="O16" s="1" t="s">
        <v>84</v>
      </c>
      <c r="P16" s="1" t="s">
        <v>70</v>
      </c>
      <c r="Q16" s="2">
        <v>8</v>
      </c>
      <c r="R16" s="2">
        <v>1</v>
      </c>
      <c r="S16" s="2">
        <v>0</v>
      </c>
      <c r="T16" s="2">
        <v>3</v>
      </c>
      <c r="U16" s="2">
        <v>5</v>
      </c>
      <c r="V16" s="2">
        <v>8</v>
      </c>
      <c r="W16" s="2">
        <v>2</v>
      </c>
      <c r="X16" s="2">
        <v>0</v>
      </c>
      <c r="Y16" s="3">
        <v>24.860000610351563</v>
      </c>
      <c r="Z16" s="2">
        <v>0</v>
      </c>
      <c r="AA16" s="2">
        <v>25</v>
      </c>
      <c r="AB16" s="2">
        <v>0</v>
      </c>
      <c r="AC16" s="2">
        <v>225</v>
      </c>
      <c r="AD16" s="2">
        <v>35</v>
      </c>
      <c r="AE16" s="2">
        <v>0</v>
      </c>
      <c r="AF16" s="2">
        <v>0</v>
      </c>
      <c r="AG16" s="3">
        <v>8.1000003814697266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15</v>
      </c>
      <c r="AN16" s="2">
        <v>0</v>
      </c>
      <c r="AO16" s="2">
        <v>0</v>
      </c>
      <c r="AP16" s="2">
        <v>0</v>
      </c>
      <c r="AQ16" s="3">
        <v>4.8255000114440918</v>
      </c>
      <c r="AR16" s="2">
        <v>0</v>
      </c>
      <c r="AS16" s="2">
        <v>0</v>
      </c>
      <c r="AT16" s="2">
        <v>0</v>
      </c>
      <c r="AU16" s="1" t="s">
        <v>71</v>
      </c>
      <c r="AV16" s="2">
        <v>0</v>
      </c>
      <c r="AW16" s="1" t="s">
        <v>71</v>
      </c>
      <c r="AX16" s="3">
        <v>283.10000610351562</v>
      </c>
      <c r="AY16" s="3">
        <v>58.099998474121094</v>
      </c>
      <c r="AZ16" s="3">
        <v>283.10000610351562</v>
      </c>
      <c r="BA16" s="3">
        <v>283.10000610351562</v>
      </c>
      <c r="BB16" s="3">
        <v>283.10000610351562</v>
      </c>
      <c r="BC16" s="3">
        <v>18</v>
      </c>
      <c r="BD16" s="3">
        <v>301.10000610351562</v>
      </c>
      <c r="BE16" s="2">
        <v>0</v>
      </c>
      <c r="BF16" s="3">
        <v>54.198001098632808</v>
      </c>
      <c r="BG16" s="3">
        <v>355.29800720214843</v>
      </c>
    </row>
    <row r="17" spans="1:59">
      <c r="A17" s="2">
        <v>2025</v>
      </c>
      <c r="B17" s="2">
        <v>6</v>
      </c>
      <c r="C17" s="2">
        <v>3</v>
      </c>
      <c r="D17" s="2">
        <v>738700</v>
      </c>
      <c r="E17" s="1" t="s">
        <v>117</v>
      </c>
      <c r="F17" s="1" t="s">
        <v>60</v>
      </c>
      <c r="G17" s="1" t="s">
        <v>77</v>
      </c>
      <c r="H17" s="1"/>
      <c r="I17" s="1" t="s">
        <v>63</v>
      </c>
      <c r="J17" s="1" t="s">
        <v>79</v>
      </c>
      <c r="K17" s="1" t="s">
        <v>65</v>
      </c>
      <c r="L17" s="1" t="s">
        <v>66</v>
      </c>
      <c r="M17" s="1" t="s">
        <v>67</v>
      </c>
      <c r="N17" s="1" t="s">
        <v>68</v>
      </c>
      <c r="O17" s="1" t="s">
        <v>80</v>
      </c>
      <c r="P17" s="1" t="s">
        <v>70</v>
      </c>
      <c r="Q17" s="2">
        <v>95</v>
      </c>
      <c r="R17" s="2">
        <v>2</v>
      </c>
      <c r="S17" s="2">
        <v>0</v>
      </c>
      <c r="T17" s="2">
        <v>75</v>
      </c>
      <c r="U17" s="2">
        <v>20</v>
      </c>
      <c r="V17" s="2">
        <v>95</v>
      </c>
      <c r="W17" s="2">
        <v>5</v>
      </c>
      <c r="X17" s="2">
        <v>0</v>
      </c>
      <c r="Y17" s="3">
        <v>226.97000122070312</v>
      </c>
      <c r="Z17" s="2">
        <v>0</v>
      </c>
      <c r="AA17" s="2">
        <v>60</v>
      </c>
      <c r="AB17" s="2">
        <v>0</v>
      </c>
      <c r="AC17" s="2">
        <v>2910</v>
      </c>
      <c r="AD17" s="2">
        <v>220</v>
      </c>
      <c r="AE17" s="2">
        <v>0</v>
      </c>
      <c r="AF17" s="2">
        <v>0</v>
      </c>
      <c r="AG17" s="3">
        <v>99.650001525878906</v>
      </c>
      <c r="AH17" s="2">
        <v>0</v>
      </c>
      <c r="AI17" s="2">
        <v>1146</v>
      </c>
      <c r="AJ17" s="2">
        <v>0</v>
      </c>
      <c r="AK17" s="2">
        <v>0</v>
      </c>
      <c r="AL17" s="2">
        <v>0</v>
      </c>
      <c r="AM17" s="2">
        <v>63</v>
      </c>
      <c r="AN17" s="2">
        <v>0</v>
      </c>
      <c r="AO17" s="2">
        <v>0</v>
      </c>
      <c r="AP17" s="2">
        <v>0</v>
      </c>
      <c r="AQ17" s="3">
        <v>28.260499954223633</v>
      </c>
      <c r="AR17" s="2">
        <v>0</v>
      </c>
      <c r="AS17" s="2">
        <v>0</v>
      </c>
      <c r="AT17" s="2">
        <v>0</v>
      </c>
      <c r="AU17" s="1" t="s">
        <v>71</v>
      </c>
      <c r="AV17" s="2">
        <v>0</v>
      </c>
      <c r="AW17" s="1" t="s">
        <v>71</v>
      </c>
      <c r="AX17" s="3">
        <v>4438.64990234375</v>
      </c>
      <c r="AY17" s="3">
        <v>1528.6500244140625</v>
      </c>
      <c r="AZ17" s="3">
        <v>4438.64990234375</v>
      </c>
      <c r="BA17" s="3">
        <v>4438.64990234375</v>
      </c>
      <c r="BB17" s="3">
        <v>4438.64990234375</v>
      </c>
      <c r="BC17" s="3">
        <v>232.8</v>
      </c>
      <c r="BD17" s="3">
        <v>4671.4499023437502</v>
      </c>
      <c r="BE17" s="2">
        <v>0</v>
      </c>
      <c r="BF17" s="3">
        <v>840.86098242187495</v>
      </c>
      <c r="BG17" s="3">
        <v>5512.3108847656249</v>
      </c>
    </row>
    <row r="18" spans="1:59">
      <c r="A18" s="2">
        <v>2025</v>
      </c>
      <c r="B18" s="2">
        <v>6</v>
      </c>
      <c r="C18" s="2">
        <v>3</v>
      </c>
      <c r="D18" s="2">
        <v>735193</v>
      </c>
      <c r="E18" s="1" t="s">
        <v>118</v>
      </c>
      <c r="F18" s="1" t="s">
        <v>60</v>
      </c>
      <c r="G18" s="1" t="s">
        <v>82</v>
      </c>
      <c r="H18" s="1"/>
      <c r="I18" s="1" t="s">
        <v>63</v>
      </c>
      <c r="J18" s="1" t="s">
        <v>83</v>
      </c>
      <c r="K18" s="1" t="s">
        <v>65</v>
      </c>
      <c r="L18" s="1" t="s">
        <v>66</v>
      </c>
      <c r="M18" s="1" t="s">
        <v>67</v>
      </c>
      <c r="N18" s="1" t="s">
        <v>68</v>
      </c>
      <c r="O18" s="1" t="s">
        <v>84</v>
      </c>
      <c r="P18" s="1" t="s">
        <v>70</v>
      </c>
      <c r="Q18" s="2">
        <v>66</v>
      </c>
      <c r="R18" s="2">
        <v>2</v>
      </c>
      <c r="S18" s="2">
        <v>0</v>
      </c>
      <c r="T18" s="2">
        <v>54</v>
      </c>
      <c r="U18" s="2">
        <v>12</v>
      </c>
      <c r="V18" s="2">
        <v>66</v>
      </c>
      <c r="W18" s="2">
        <v>5</v>
      </c>
      <c r="X18" s="2">
        <v>0</v>
      </c>
      <c r="Y18" s="3">
        <v>153.11000061035156</v>
      </c>
      <c r="Z18" s="2">
        <v>0</v>
      </c>
      <c r="AA18" s="2">
        <v>50</v>
      </c>
      <c r="AB18" s="2">
        <v>0</v>
      </c>
      <c r="AC18" s="2">
        <v>1700</v>
      </c>
      <c r="AD18" s="2">
        <v>180</v>
      </c>
      <c r="AE18" s="2">
        <v>0</v>
      </c>
      <c r="AF18" s="2">
        <v>0</v>
      </c>
      <c r="AG18" s="3">
        <v>29.100000381469727</v>
      </c>
      <c r="AH18" s="2">
        <v>0</v>
      </c>
      <c r="AI18" s="2">
        <v>530</v>
      </c>
      <c r="AJ18" s="2">
        <v>0</v>
      </c>
      <c r="AK18" s="2">
        <v>0</v>
      </c>
      <c r="AL18" s="2">
        <v>0</v>
      </c>
      <c r="AM18" s="2">
        <v>39</v>
      </c>
      <c r="AN18" s="2">
        <v>0</v>
      </c>
      <c r="AO18" s="2">
        <v>0</v>
      </c>
      <c r="AP18" s="2">
        <v>0</v>
      </c>
      <c r="AQ18" s="3">
        <v>25.168277740478516</v>
      </c>
      <c r="AR18" s="2">
        <v>0</v>
      </c>
      <c r="AS18" s="2">
        <v>0</v>
      </c>
      <c r="AT18" s="2">
        <v>0</v>
      </c>
      <c r="AU18" s="1" t="s">
        <v>71</v>
      </c>
      <c r="AV18" s="2">
        <v>0</v>
      </c>
      <c r="AW18" s="1" t="s">
        <v>71</v>
      </c>
      <c r="AX18" s="3">
        <v>2478.10009765625</v>
      </c>
      <c r="AY18" s="3">
        <v>778.0999755859375</v>
      </c>
      <c r="AZ18" s="3">
        <v>2478.10009765625</v>
      </c>
      <c r="BA18" s="3">
        <v>2478.10009765625</v>
      </c>
      <c r="BB18" s="3">
        <v>2478.10009765625</v>
      </c>
      <c r="BC18" s="3">
        <v>136</v>
      </c>
      <c r="BD18" s="3">
        <v>2614.10009765625</v>
      </c>
      <c r="BE18" s="2">
        <v>0</v>
      </c>
      <c r="BF18" s="3">
        <v>470.53801757812499</v>
      </c>
      <c r="BG18" s="3">
        <v>3084.6381152343752</v>
      </c>
    </row>
    <row r="19" spans="1:59">
      <c r="A19" s="2">
        <v>2025</v>
      </c>
      <c r="B19" s="2">
        <v>6</v>
      </c>
      <c r="C19" s="2">
        <v>3</v>
      </c>
      <c r="D19" s="2">
        <v>799654</v>
      </c>
      <c r="E19" s="1" t="s">
        <v>119</v>
      </c>
      <c r="F19" s="1" t="s">
        <v>60</v>
      </c>
      <c r="G19" s="1" t="s">
        <v>61</v>
      </c>
      <c r="H19" s="1" t="s">
        <v>120</v>
      </c>
      <c r="I19" s="1" t="s">
        <v>63</v>
      </c>
      <c r="J19" s="1" t="s">
        <v>83</v>
      </c>
      <c r="K19" s="1" t="s">
        <v>65</v>
      </c>
      <c r="L19" s="1" t="s">
        <v>66</v>
      </c>
      <c r="M19" s="1" t="s">
        <v>67</v>
      </c>
      <c r="N19" s="1" t="s">
        <v>68</v>
      </c>
      <c r="O19" s="1" t="s">
        <v>84</v>
      </c>
      <c r="P19" s="1" t="s">
        <v>70</v>
      </c>
      <c r="Q19" s="2">
        <v>159</v>
      </c>
      <c r="R19" s="2">
        <v>3</v>
      </c>
      <c r="S19" s="2">
        <v>0</v>
      </c>
      <c r="T19" s="2">
        <v>132</v>
      </c>
      <c r="U19" s="2">
        <v>27</v>
      </c>
      <c r="V19" s="2">
        <v>159</v>
      </c>
      <c r="W19" s="2">
        <v>6</v>
      </c>
      <c r="X19" s="2">
        <v>0</v>
      </c>
      <c r="Y19" s="3">
        <v>328.260009765625</v>
      </c>
      <c r="Z19" s="2">
        <v>0</v>
      </c>
      <c r="AA19" s="2">
        <v>75</v>
      </c>
      <c r="AB19" s="2">
        <v>0</v>
      </c>
      <c r="AC19" s="2">
        <v>4050</v>
      </c>
      <c r="AD19" s="2">
        <v>530</v>
      </c>
      <c r="AE19" s="2">
        <v>0</v>
      </c>
      <c r="AF19" s="2">
        <v>0</v>
      </c>
      <c r="AG19" s="3">
        <v>23.450000762939453</v>
      </c>
      <c r="AH19" s="2">
        <v>0</v>
      </c>
      <c r="AI19" s="2">
        <v>2262</v>
      </c>
      <c r="AJ19" s="2">
        <v>0</v>
      </c>
      <c r="AK19" s="2">
        <v>0</v>
      </c>
      <c r="AL19" s="2">
        <v>0</v>
      </c>
      <c r="AM19" s="2">
        <v>81</v>
      </c>
      <c r="AN19" s="2">
        <v>0</v>
      </c>
      <c r="AO19" s="2">
        <v>250</v>
      </c>
      <c r="AP19" s="2">
        <v>0</v>
      </c>
      <c r="AQ19" s="3">
        <v>51.621555328369141</v>
      </c>
      <c r="AR19" s="2">
        <v>600</v>
      </c>
      <c r="AS19" s="2">
        <v>2</v>
      </c>
      <c r="AT19" s="2">
        <v>0</v>
      </c>
      <c r="AU19" s="1" t="s">
        <v>71</v>
      </c>
      <c r="AV19" s="3">
        <v>86.540000915527344</v>
      </c>
      <c r="AW19" s="1" t="s">
        <v>105</v>
      </c>
      <c r="AX19" s="3">
        <v>7196.4501953125</v>
      </c>
      <c r="AY19" s="3">
        <v>3146.449951171875</v>
      </c>
      <c r="AZ19" s="3">
        <v>7796.4501953125</v>
      </c>
      <c r="BA19" s="3">
        <v>7796.4501953125</v>
      </c>
      <c r="BB19" s="3">
        <v>7709.91015625</v>
      </c>
      <c r="BC19" s="3">
        <v>324</v>
      </c>
      <c r="BD19" s="3">
        <v>8033.91015625</v>
      </c>
      <c r="BE19" s="2">
        <v>0</v>
      </c>
      <c r="BF19" s="3">
        <v>1446.1038281249998</v>
      </c>
      <c r="BG19" s="3">
        <v>9480.0139843750003</v>
      </c>
    </row>
    <row r="20" spans="1:59">
      <c r="A20" s="2">
        <v>2025</v>
      </c>
      <c r="B20" s="2">
        <v>6</v>
      </c>
      <c r="C20" s="2">
        <v>3</v>
      </c>
      <c r="D20" s="2">
        <v>804004</v>
      </c>
      <c r="E20" s="1" t="s">
        <v>121</v>
      </c>
      <c r="F20" s="1" t="s">
        <v>60</v>
      </c>
      <c r="G20" s="1" t="s">
        <v>61</v>
      </c>
      <c r="H20" s="1"/>
      <c r="I20" s="1" t="s">
        <v>63</v>
      </c>
      <c r="J20" s="1" t="s">
        <v>110</v>
      </c>
      <c r="K20" s="1" t="s">
        <v>65</v>
      </c>
      <c r="L20" s="1" t="s">
        <v>66</v>
      </c>
      <c r="M20" s="1" t="s">
        <v>67</v>
      </c>
      <c r="N20" s="1" t="s">
        <v>68</v>
      </c>
      <c r="O20" s="1" t="s">
        <v>115</v>
      </c>
      <c r="P20" s="1" t="s">
        <v>70</v>
      </c>
      <c r="Q20" s="2">
        <v>85</v>
      </c>
      <c r="R20" s="2">
        <v>2</v>
      </c>
      <c r="S20" s="2">
        <v>0</v>
      </c>
      <c r="T20" s="2">
        <v>59</v>
      </c>
      <c r="U20" s="2">
        <v>26</v>
      </c>
      <c r="V20" s="2">
        <v>85</v>
      </c>
      <c r="W20" s="2">
        <v>6</v>
      </c>
      <c r="X20" s="2">
        <v>0</v>
      </c>
      <c r="Y20" s="3">
        <v>175.07000732421875</v>
      </c>
      <c r="Z20" s="2">
        <v>0</v>
      </c>
      <c r="AA20" s="2">
        <v>50</v>
      </c>
      <c r="AB20" s="2">
        <v>0</v>
      </c>
      <c r="AC20" s="2">
        <v>2175</v>
      </c>
      <c r="AD20" s="2">
        <v>120</v>
      </c>
      <c r="AE20" s="2">
        <v>0</v>
      </c>
      <c r="AF20" s="2">
        <v>0</v>
      </c>
      <c r="AG20" s="3">
        <v>50.349998474121094</v>
      </c>
      <c r="AH20" s="2">
        <v>0</v>
      </c>
      <c r="AI20" s="2">
        <v>663</v>
      </c>
      <c r="AJ20" s="2">
        <v>0</v>
      </c>
      <c r="AK20" s="2">
        <v>0</v>
      </c>
      <c r="AL20" s="2">
        <v>30</v>
      </c>
      <c r="AM20" s="2">
        <v>78</v>
      </c>
      <c r="AN20" s="2">
        <v>0</v>
      </c>
      <c r="AO20" s="2">
        <v>0</v>
      </c>
      <c r="AP20" s="2">
        <v>0</v>
      </c>
      <c r="AQ20" s="3">
        <v>48.426666259765625</v>
      </c>
      <c r="AR20" s="2">
        <v>0</v>
      </c>
      <c r="AS20" s="2">
        <v>0</v>
      </c>
      <c r="AT20" s="2">
        <v>0</v>
      </c>
      <c r="AU20" s="1" t="s">
        <v>71</v>
      </c>
      <c r="AV20" s="2">
        <v>0</v>
      </c>
      <c r="AW20" s="1" t="s">
        <v>71</v>
      </c>
      <c r="AX20" s="3">
        <v>3116.35009765625</v>
      </c>
      <c r="AY20" s="3">
        <v>941.3499755859375</v>
      </c>
      <c r="AZ20" s="3">
        <v>3116.35009765625</v>
      </c>
      <c r="BA20" s="3">
        <v>3116.35009765625</v>
      </c>
      <c r="BB20" s="3">
        <v>3116.35009765625</v>
      </c>
      <c r="BC20" s="3">
        <v>174</v>
      </c>
      <c r="BD20" s="3">
        <v>3290.35009765625</v>
      </c>
      <c r="BE20" s="2">
        <v>0</v>
      </c>
      <c r="BF20" s="3">
        <v>592.26301757812496</v>
      </c>
      <c r="BG20" s="3">
        <v>3882.6131152343751</v>
      </c>
    </row>
    <row r="21" spans="1:59">
      <c r="A21" s="2">
        <v>2025</v>
      </c>
      <c r="B21" s="2">
        <v>6</v>
      </c>
      <c r="C21" s="2">
        <v>3</v>
      </c>
      <c r="D21" s="2">
        <v>741275</v>
      </c>
      <c r="E21" s="1" t="s">
        <v>122</v>
      </c>
      <c r="F21" s="1" t="s">
        <v>60</v>
      </c>
      <c r="G21" s="1" t="s">
        <v>77</v>
      </c>
      <c r="H21" s="1"/>
      <c r="I21" s="1" t="s">
        <v>63</v>
      </c>
      <c r="J21" s="1" t="s">
        <v>74</v>
      </c>
      <c r="K21" s="1" t="s">
        <v>65</v>
      </c>
      <c r="L21" s="1" t="s">
        <v>66</v>
      </c>
      <c r="M21" s="1" t="s">
        <v>67</v>
      </c>
      <c r="N21" s="1" t="s">
        <v>68</v>
      </c>
      <c r="O21" s="1" t="s">
        <v>123</v>
      </c>
      <c r="P21" s="1" t="s">
        <v>70</v>
      </c>
      <c r="Q21" s="2">
        <v>186</v>
      </c>
      <c r="R21" s="2">
        <v>1</v>
      </c>
      <c r="S21" s="2">
        <v>0</v>
      </c>
      <c r="T21" s="2">
        <v>134</v>
      </c>
      <c r="U21" s="2">
        <v>52</v>
      </c>
      <c r="V21" s="2">
        <v>186</v>
      </c>
      <c r="W21" s="2">
        <v>7</v>
      </c>
      <c r="X21" s="2">
        <v>0</v>
      </c>
      <c r="Y21" s="3">
        <v>610.44000244140625</v>
      </c>
      <c r="Z21" s="2">
        <v>0</v>
      </c>
      <c r="AA21" s="2">
        <v>30</v>
      </c>
      <c r="AB21" s="2">
        <v>0</v>
      </c>
      <c r="AC21" s="2">
        <v>5610</v>
      </c>
      <c r="AD21" s="2">
        <v>555</v>
      </c>
      <c r="AE21" s="2">
        <v>3740</v>
      </c>
      <c r="AF21" s="2">
        <v>0</v>
      </c>
      <c r="AG21" s="3">
        <v>544.04998779296875</v>
      </c>
      <c r="AH21" s="2">
        <v>0</v>
      </c>
      <c r="AI21" s="2">
        <v>2790</v>
      </c>
      <c r="AJ21" s="2">
        <v>0</v>
      </c>
      <c r="AK21" s="2">
        <v>0</v>
      </c>
      <c r="AL21" s="2">
        <v>0</v>
      </c>
      <c r="AM21" s="2">
        <v>159</v>
      </c>
      <c r="AN21" s="2">
        <v>0</v>
      </c>
      <c r="AO21" s="2">
        <v>500</v>
      </c>
      <c r="AP21" s="2">
        <v>0</v>
      </c>
      <c r="AQ21" s="2">
        <v>63</v>
      </c>
      <c r="AR21" s="2">
        <v>0</v>
      </c>
      <c r="AS21" s="2">
        <v>0</v>
      </c>
      <c r="AT21" s="2">
        <v>0</v>
      </c>
      <c r="AU21" s="1" t="s">
        <v>71</v>
      </c>
      <c r="AV21" s="2">
        <v>50</v>
      </c>
      <c r="AW21" s="1" t="s">
        <v>124</v>
      </c>
      <c r="AX21" s="3">
        <v>13898.0498046875</v>
      </c>
      <c r="AY21" s="3">
        <v>8288.0498046875</v>
      </c>
      <c r="AZ21" s="3">
        <v>13898.0498046875</v>
      </c>
      <c r="BA21" s="3">
        <v>13898.0498046875</v>
      </c>
      <c r="BB21" s="3">
        <v>13848.0498046875</v>
      </c>
      <c r="BC21" s="3">
        <v>448.8</v>
      </c>
      <c r="BD21" s="3">
        <v>14296.849804687499</v>
      </c>
      <c r="BE21" s="2">
        <v>0</v>
      </c>
      <c r="BF21" s="3">
        <v>2573.4329648437497</v>
      </c>
      <c r="BG21" s="3">
        <v>16870.282769531248</v>
      </c>
    </row>
    <row r="22" spans="1:59">
      <c r="A22" s="2">
        <v>2025</v>
      </c>
      <c r="B22" s="2">
        <v>6</v>
      </c>
      <c r="C22" s="2">
        <v>3</v>
      </c>
      <c r="D22" s="2">
        <v>757911</v>
      </c>
      <c r="E22" s="1" t="s">
        <v>125</v>
      </c>
      <c r="F22" s="1" t="s">
        <v>60</v>
      </c>
      <c r="G22" s="1" t="s">
        <v>82</v>
      </c>
      <c r="H22" s="1"/>
      <c r="I22" s="1" t="s">
        <v>63</v>
      </c>
      <c r="J22" s="1" t="s">
        <v>126</v>
      </c>
      <c r="K22" s="1" t="s">
        <v>65</v>
      </c>
      <c r="L22" s="1" t="s">
        <v>66</v>
      </c>
      <c r="M22" s="1" t="s">
        <v>67</v>
      </c>
      <c r="N22" s="1" t="s">
        <v>68</v>
      </c>
      <c r="O22" s="1" t="s">
        <v>127</v>
      </c>
      <c r="P22" s="1" t="s">
        <v>70</v>
      </c>
      <c r="Q22" s="2">
        <v>215</v>
      </c>
      <c r="R22" s="2">
        <v>1</v>
      </c>
      <c r="S22" s="2">
        <v>0</v>
      </c>
      <c r="T22" s="2">
        <v>147</v>
      </c>
      <c r="U22" s="2">
        <v>68</v>
      </c>
      <c r="V22" s="2">
        <v>215</v>
      </c>
      <c r="W22" s="2">
        <v>7</v>
      </c>
      <c r="X22" s="2">
        <v>0</v>
      </c>
      <c r="Y22" s="3">
        <v>359.8900146484375</v>
      </c>
      <c r="Z22" s="2">
        <v>0</v>
      </c>
      <c r="AA22" s="2">
        <v>25</v>
      </c>
      <c r="AB22" s="2">
        <v>0</v>
      </c>
      <c r="AC22" s="2">
        <v>5400</v>
      </c>
      <c r="AD22" s="2">
        <v>705</v>
      </c>
      <c r="AE22" s="2">
        <v>0</v>
      </c>
      <c r="AF22" s="2">
        <v>0</v>
      </c>
      <c r="AG22" s="3">
        <v>3.25</v>
      </c>
      <c r="AH22" s="2">
        <v>0</v>
      </c>
      <c r="AI22" s="2">
        <v>3156</v>
      </c>
      <c r="AJ22" s="2">
        <v>0</v>
      </c>
      <c r="AK22" s="2">
        <v>0</v>
      </c>
      <c r="AL22" s="2">
        <v>30</v>
      </c>
      <c r="AM22" s="2">
        <v>210</v>
      </c>
      <c r="AN22" s="2">
        <v>0</v>
      </c>
      <c r="AO22" s="2">
        <v>800</v>
      </c>
      <c r="AP22" s="2">
        <v>0</v>
      </c>
      <c r="AQ22" s="3">
        <v>62.109443664550781</v>
      </c>
      <c r="AR22" s="2">
        <v>0</v>
      </c>
      <c r="AS22" s="2">
        <v>0</v>
      </c>
      <c r="AT22" s="2">
        <v>0</v>
      </c>
      <c r="AU22" s="1" t="s">
        <v>71</v>
      </c>
      <c r="AV22" s="2">
        <v>0</v>
      </c>
      <c r="AW22" s="1" t="s">
        <v>71</v>
      </c>
      <c r="AX22" s="3">
        <v>10304.25</v>
      </c>
      <c r="AY22" s="3">
        <v>4904.25</v>
      </c>
      <c r="AZ22" s="3">
        <v>10304.25</v>
      </c>
      <c r="BA22" s="3">
        <v>10304.25</v>
      </c>
      <c r="BB22" s="3">
        <v>10304.25</v>
      </c>
      <c r="BC22" s="3">
        <v>432</v>
      </c>
      <c r="BD22" s="3">
        <v>10736.25</v>
      </c>
      <c r="BE22" s="2">
        <v>0</v>
      </c>
      <c r="BF22" s="3">
        <v>1932.5249999999999</v>
      </c>
      <c r="BG22" s="3">
        <v>12668.775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B7" sqref="B7"/>
    </sheetView>
  </sheetViews>
  <sheetFormatPr defaultRowHeight="14.25"/>
  <cols>
    <col min="1" max="1" width="6.875" bestFit="1" customWidth="1"/>
    <col min="2" max="2" width="37.5" bestFit="1" customWidth="1"/>
    <col min="3" max="3" width="27" bestFit="1" customWidth="1"/>
    <col min="4" max="4" width="14.5" bestFit="1" customWidth="1"/>
    <col min="5" max="5" width="14.375" customWidth="1"/>
  </cols>
  <sheetData>
    <row r="1" spans="1:10" ht="45">
      <c r="A1" s="11" t="s">
        <v>3</v>
      </c>
      <c r="B1" s="11" t="s">
        <v>4</v>
      </c>
      <c r="C1" s="11" t="s">
        <v>9</v>
      </c>
      <c r="D1" s="11" t="s">
        <v>16</v>
      </c>
      <c r="E1" s="12" t="s">
        <v>53</v>
      </c>
      <c r="F1" s="13" t="s">
        <v>128</v>
      </c>
      <c r="G1" s="13" t="s">
        <v>129</v>
      </c>
      <c r="H1" s="13" t="s">
        <v>130</v>
      </c>
      <c r="I1" s="13" t="s">
        <v>131</v>
      </c>
      <c r="J1" s="13" t="s">
        <v>132</v>
      </c>
    </row>
    <row r="2" spans="1:10">
      <c r="A2" s="5">
        <v>799957</v>
      </c>
      <c r="B2" s="6" t="s">
        <v>59</v>
      </c>
      <c r="C2" s="7" t="s">
        <v>64</v>
      </c>
      <c r="D2" s="8">
        <v>84</v>
      </c>
      <c r="E2" s="8">
        <v>2898</v>
      </c>
      <c r="F2" s="7">
        <v>0</v>
      </c>
      <c r="G2" s="7">
        <v>0</v>
      </c>
      <c r="H2" s="7">
        <v>0</v>
      </c>
      <c r="I2" s="9">
        <f>E2-F2-G2-H2</f>
        <v>2898</v>
      </c>
      <c r="J2" s="4">
        <f>I2-(I2*0.01)</f>
        <v>2869.02</v>
      </c>
    </row>
    <row r="3" spans="1:10">
      <c r="A3" s="5">
        <v>793343</v>
      </c>
      <c r="B3" s="6" t="s">
        <v>72</v>
      </c>
      <c r="C3" s="7" t="s">
        <v>74</v>
      </c>
      <c r="D3" s="8">
        <v>163</v>
      </c>
      <c r="E3" s="10">
        <v>11394.75</v>
      </c>
      <c r="F3" s="7">
        <v>0</v>
      </c>
      <c r="G3" s="7">
        <v>1540</v>
      </c>
      <c r="H3" s="7">
        <v>0</v>
      </c>
      <c r="I3" s="9">
        <f t="shared" ref="I3:I22" si="0">E3-F3-G3-H3</f>
        <v>9854.75</v>
      </c>
      <c r="J3" s="4">
        <f t="shared" ref="J3:J22" si="1">I3-(I3*0.01)</f>
        <v>9756.2024999999994</v>
      </c>
    </row>
    <row r="4" spans="1:10">
      <c r="A4" s="5">
        <v>793831</v>
      </c>
      <c r="B4" s="6" t="s">
        <v>76</v>
      </c>
      <c r="C4" s="7" t="s">
        <v>79</v>
      </c>
      <c r="D4" s="8">
        <v>4</v>
      </c>
      <c r="E4" s="10">
        <v>160.35000610351562</v>
      </c>
      <c r="F4" s="7">
        <v>0</v>
      </c>
      <c r="G4" s="7">
        <v>220</v>
      </c>
      <c r="H4" s="7">
        <v>0</v>
      </c>
      <c r="I4" s="9">
        <f t="shared" si="0"/>
        <v>-59.649993896484375</v>
      </c>
      <c r="J4" s="4">
        <f t="shared" si="1"/>
        <v>-59.053493957519528</v>
      </c>
    </row>
    <row r="5" spans="1:10">
      <c r="A5" s="5">
        <v>753406</v>
      </c>
      <c r="B5" s="6" t="s">
        <v>81</v>
      </c>
      <c r="C5" s="7" t="s">
        <v>83</v>
      </c>
      <c r="D5" s="8">
        <v>82</v>
      </c>
      <c r="E5" s="10">
        <v>3721.39990234375</v>
      </c>
      <c r="F5" s="7">
        <v>500</v>
      </c>
      <c r="G5" s="7">
        <v>1540</v>
      </c>
      <c r="H5" s="7">
        <v>0</v>
      </c>
      <c r="I5" s="9">
        <f t="shared" si="0"/>
        <v>1681.39990234375</v>
      </c>
      <c r="J5" s="4">
        <f t="shared" si="1"/>
        <v>1664.5859033203126</v>
      </c>
    </row>
    <row r="6" spans="1:10">
      <c r="A6" s="5">
        <v>804059</v>
      </c>
      <c r="B6" s="6" t="s">
        <v>85</v>
      </c>
      <c r="C6" s="7" t="s">
        <v>86</v>
      </c>
      <c r="D6" s="8">
        <v>5</v>
      </c>
      <c r="E6" s="8">
        <v>155</v>
      </c>
      <c r="F6" s="7">
        <v>0</v>
      </c>
      <c r="G6" s="7">
        <v>0</v>
      </c>
      <c r="H6" s="7">
        <v>0</v>
      </c>
      <c r="I6" s="9">
        <f t="shared" si="0"/>
        <v>155</v>
      </c>
      <c r="J6" s="4">
        <f t="shared" si="1"/>
        <v>153.44999999999999</v>
      </c>
    </row>
    <row r="7" spans="1:10">
      <c r="A7" s="5">
        <v>803461</v>
      </c>
      <c r="B7" s="6" t="s">
        <v>88</v>
      </c>
      <c r="C7" s="7" t="s">
        <v>90</v>
      </c>
      <c r="D7" s="8">
        <v>43</v>
      </c>
      <c r="E7" s="10">
        <v>1967.550048828125</v>
      </c>
      <c r="F7" s="7">
        <v>0</v>
      </c>
      <c r="G7" s="7">
        <v>1540</v>
      </c>
      <c r="H7" s="7">
        <v>120</v>
      </c>
      <c r="I7" s="9">
        <f t="shared" si="0"/>
        <v>307.550048828125</v>
      </c>
      <c r="J7" s="4">
        <f t="shared" si="1"/>
        <v>304.47454833984375</v>
      </c>
    </row>
    <row r="8" spans="1:10">
      <c r="A8" s="5">
        <v>803593</v>
      </c>
      <c r="B8" s="6" t="s">
        <v>92</v>
      </c>
      <c r="C8" s="7" t="s">
        <v>94</v>
      </c>
      <c r="D8" s="8">
        <v>15</v>
      </c>
      <c r="E8" s="10">
        <v>845.9000244140625</v>
      </c>
      <c r="F8" s="7">
        <v>0</v>
      </c>
      <c r="G8" s="7">
        <v>660</v>
      </c>
      <c r="H8" s="7">
        <v>0</v>
      </c>
      <c r="I8" s="9">
        <f t="shared" si="0"/>
        <v>185.9000244140625</v>
      </c>
      <c r="J8" s="4">
        <f t="shared" si="1"/>
        <v>184.04102416992188</v>
      </c>
    </row>
    <row r="9" spans="1:10">
      <c r="A9" s="5">
        <v>780996</v>
      </c>
      <c r="B9" s="6" t="s">
        <v>96</v>
      </c>
      <c r="C9" s="7" t="s">
        <v>98</v>
      </c>
      <c r="D9" s="8">
        <v>79</v>
      </c>
      <c r="E9" s="10">
        <v>3395.949951171875</v>
      </c>
      <c r="F9" s="7">
        <v>0</v>
      </c>
      <c r="G9" s="7">
        <v>1540</v>
      </c>
      <c r="H9" s="7">
        <v>0</v>
      </c>
      <c r="I9" s="9">
        <f t="shared" si="0"/>
        <v>1855.949951171875</v>
      </c>
      <c r="J9" s="4">
        <f t="shared" si="1"/>
        <v>1837.3904516601563</v>
      </c>
    </row>
    <row r="10" spans="1:10">
      <c r="A10" s="5">
        <v>801108</v>
      </c>
      <c r="B10" s="6" t="s">
        <v>101</v>
      </c>
      <c r="C10" s="7" t="s">
        <v>83</v>
      </c>
      <c r="D10" s="8">
        <v>15</v>
      </c>
      <c r="E10" s="10">
        <v>510.04998779296875</v>
      </c>
      <c r="F10" s="7">
        <v>0</v>
      </c>
      <c r="G10" s="7">
        <v>660</v>
      </c>
      <c r="H10" s="7">
        <v>0</v>
      </c>
      <c r="I10" s="9">
        <f t="shared" si="0"/>
        <v>-149.95001220703125</v>
      </c>
      <c r="J10" s="4">
        <f t="shared" si="1"/>
        <v>-148.45051208496093</v>
      </c>
    </row>
    <row r="11" spans="1:10">
      <c r="A11" s="5">
        <v>804000</v>
      </c>
      <c r="B11" s="6" t="s">
        <v>103</v>
      </c>
      <c r="C11" s="7" t="s">
        <v>83</v>
      </c>
      <c r="D11" s="8">
        <v>151</v>
      </c>
      <c r="E11" s="10">
        <v>7802.35009765625</v>
      </c>
      <c r="F11" s="7">
        <v>1000</v>
      </c>
      <c r="G11" s="7">
        <v>1320</v>
      </c>
      <c r="H11" s="7">
        <v>0</v>
      </c>
      <c r="I11" s="9">
        <f t="shared" si="0"/>
        <v>5482.35009765625</v>
      </c>
      <c r="J11" s="4">
        <f t="shared" si="1"/>
        <v>5427.5265966796878</v>
      </c>
    </row>
    <row r="12" spans="1:10">
      <c r="A12" s="5">
        <v>784832</v>
      </c>
      <c r="B12" s="6" t="s">
        <v>106</v>
      </c>
      <c r="C12" s="7" t="s">
        <v>83</v>
      </c>
      <c r="D12" s="8">
        <v>183</v>
      </c>
      <c r="E12" s="10">
        <v>10054.5498046875</v>
      </c>
      <c r="F12" s="7">
        <v>0</v>
      </c>
      <c r="G12" s="7">
        <v>1540</v>
      </c>
      <c r="H12" s="7">
        <v>0</v>
      </c>
      <c r="I12" s="9">
        <f t="shared" si="0"/>
        <v>8514.5498046875</v>
      </c>
      <c r="J12" s="4">
        <f t="shared" si="1"/>
        <v>8429.4043066406248</v>
      </c>
    </row>
    <row r="13" spans="1:10">
      <c r="A13" s="5">
        <v>756144</v>
      </c>
      <c r="B13" s="6" t="s">
        <v>109</v>
      </c>
      <c r="C13" s="7" t="s">
        <v>110</v>
      </c>
      <c r="D13" s="8">
        <v>103</v>
      </c>
      <c r="E13" s="10">
        <v>4594.35009765625</v>
      </c>
      <c r="F13" s="7">
        <v>0</v>
      </c>
      <c r="G13" s="7">
        <v>1540</v>
      </c>
      <c r="H13" s="7">
        <v>0</v>
      </c>
      <c r="I13" s="9">
        <f t="shared" si="0"/>
        <v>3054.35009765625</v>
      </c>
      <c r="J13" s="4">
        <f t="shared" si="1"/>
        <v>3023.8065966796876</v>
      </c>
    </row>
    <row r="14" spans="1:10">
      <c r="A14" s="5">
        <v>804070</v>
      </c>
      <c r="B14" s="6" t="s">
        <v>112</v>
      </c>
      <c r="C14" s="7" t="s">
        <v>83</v>
      </c>
      <c r="D14" s="8">
        <v>16</v>
      </c>
      <c r="E14" s="10">
        <v>570.79998779296875</v>
      </c>
      <c r="F14" s="7">
        <v>0</v>
      </c>
      <c r="G14" s="7">
        <v>660</v>
      </c>
      <c r="H14" s="7">
        <v>0</v>
      </c>
      <c r="I14" s="9">
        <f t="shared" si="0"/>
        <v>-89.20001220703125</v>
      </c>
      <c r="J14" s="4">
        <f t="shared" si="1"/>
        <v>-88.308012084960936</v>
      </c>
    </row>
    <row r="15" spans="1:10">
      <c r="A15" s="5">
        <v>786490</v>
      </c>
      <c r="B15" s="6" t="s">
        <v>113</v>
      </c>
      <c r="C15" s="7" t="s">
        <v>110</v>
      </c>
      <c r="D15" s="8">
        <v>142</v>
      </c>
      <c r="E15" s="10">
        <v>6054.39990234375</v>
      </c>
      <c r="F15" s="7">
        <v>0</v>
      </c>
      <c r="G15" s="7">
        <v>1540</v>
      </c>
      <c r="H15" s="7">
        <v>0</v>
      </c>
      <c r="I15" s="9">
        <f t="shared" si="0"/>
        <v>4514.39990234375</v>
      </c>
      <c r="J15" s="4">
        <f t="shared" si="1"/>
        <v>4469.2559033203124</v>
      </c>
    </row>
    <row r="16" spans="1:10">
      <c r="A16" s="5">
        <v>804002</v>
      </c>
      <c r="B16" s="6" t="s">
        <v>116</v>
      </c>
      <c r="C16" s="7" t="s">
        <v>83</v>
      </c>
      <c r="D16" s="8">
        <v>8</v>
      </c>
      <c r="E16" s="10">
        <v>283.10000610351562</v>
      </c>
      <c r="F16" s="7">
        <v>0</v>
      </c>
      <c r="G16" s="7">
        <v>220</v>
      </c>
      <c r="H16" s="7">
        <v>0</v>
      </c>
      <c r="I16" s="9">
        <f t="shared" si="0"/>
        <v>63.100006103515625</v>
      </c>
      <c r="J16" s="4">
        <f t="shared" si="1"/>
        <v>62.469006042480466</v>
      </c>
    </row>
    <row r="17" spans="1:10">
      <c r="A17" s="5">
        <v>738700</v>
      </c>
      <c r="B17" s="6" t="s">
        <v>117</v>
      </c>
      <c r="C17" s="7" t="s">
        <v>79</v>
      </c>
      <c r="D17" s="8">
        <v>95</v>
      </c>
      <c r="E17" s="10">
        <v>4438.64990234375</v>
      </c>
      <c r="F17" s="7">
        <v>0</v>
      </c>
      <c r="G17" s="7">
        <v>0</v>
      </c>
      <c r="H17" s="7">
        <v>0</v>
      </c>
      <c r="I17" s="9">
        <f t="shared" si="0"/>
        <v>4438.64990234375</v>
      </c>
      <c r="J17" s="4">
        <f t="shared" si="1"/>
        <v>4394.2634033203121</v>
      </c>
    </row>
    <row r="18" spans="1:10">
      <c r="A18" s="5">
        <v>735193</v>
      </c>
      <c r="B18" s="6" t="s">
        <v>118</v>
      </c>
      <c r="C18" s="7" t="s">
        <v>83</v>
      </c>
      <c r="D18" s="8">
        <v>66</v>
      </c>
      <c r="E18" s="10">
        <v>2478.10009765625</v>
      </c>
      <c r="F18" s="7">
        <v>0</v>
      </c>
      <c r="G18" s="7">
        <v>1540</v>
      </c>
      <c r="H18" s="7">
        <v>1042</v>
      </c>
      <c r="I18" s="9">
        <f t="shared" si="0"/>
        <v>-103.89990234375</v>
      </c>
      <c r="J18" s="4">
        <f t="shared" si="1"/>
        <v>-102.8609033203125</v>
      </c>
    </row>
    <row r="19" spans="1:10">
      <c r="A19" s="5">
        <v>799654</v>
      </c>
      <c r="B19" s="6" t="s">
        <v>119</v>
      </c>
      <c r="C19" s="7" t="s">
        <v>83</v>
      </c>
      <c r="D19" s="8">
        <v>159</v>
      </c>
      <c r="E19" s="10">
        <v>7709.91015625</v>
      </c>
      <c r="F19" s="7">
        <v>0</v>
      </c>
      <c r="G19" s="7">
        <v>1540</v>
      </c>
      <c r="H19" s="7">
        <v>0</v>
      </c>
      <c r="I19" s="9">
        <f t="shared" si="0"/>
        <v>6169.91015625</v>
      </c>
      <c r="J19" s="4">
        <f t="shared" si="1"/>
        <v>6108.2110546875001</v>
      </c>
    </row>
    <row r="20" spans="1:10">
      <c r="A20" s="5">
        <v>804004</v>
      </c>
      <c r="B20" s="6" t="s">
        <v>121</v>
      </c>
      <c r="C20" s="7" t="s">
        <v>110</v>
      </c>
      <c r="D20" s="8">
        <v>85</v>
      </c>
      <c r="E20" s="10">
        <v>3116.35009765625</v>
      </c>
      <c r="F20" s="7">
        <v>0</v>
      </c>
      <c r="G20" s="7">
        <v>1100</v>
      </c>
      <c r="H20" s="7">
        <v>0</v>
      </c>
      <c r="I20" s="9">
        <f t="shared" si="0"/>
        <v>2016.35009765625</v>
      </c>
      <c r="J20" s="4">
        <f t="shared" si="1"/>
        <v>1996.1865966796875</v>
      </c>
    </row>
    <row r="21" spans="1:10">
      <c r="A21" s="5">
        <v>741275</v>
      </c>
      <c r="B21" s="6" t="s">
        <v>122</v>
      </c>
      <c r="C21" s="7" t="s">
        <v>74</v>
      </c>
      <c r="D21" s="8">
        <v>186</v>
      </c>
      <c r="E21" s="10">
        <v>13848.0498046875</v>
      </c>
      <c r="F21" s="7">
        <v>0</v>
      </c>
      <c r="G21" s="7">
        <v>1540</v>
      </c>
      <c r="H21" s="7">
        <v>0</v>
      </c>
      <c r="I21" s="9">
        <f t="shared" si="0"/>
        <v>12308.0498046875</v>
      </c>
      <c r="J21" s="4">
        <f t="shared" si="1"/>
        <v>12184.969306640625</v>
      </c>
    </row>
    <row r="22" spans="1:10">
      <c r="A22" s="5">
        <v>757911</v>
      </c>
      <c r="B22" s="6" t="s">
        <v>125</v>
      </c>
      <c r="C22" s="7" t="s">
        <v>126</v>
      </c>
      <c r="D22" s="8">
        <v>215</v>
      </c>
      <c r="E22" s="10">
        <v>10304.25</v>
      </c>
      <c r="F22" s="7">
        <v>0</v>
      </c>
      <c r="G22" s="7">
        <v>1400</v>
      </c>
      <c r="H22" s="7">
        <v>0</v>
      </c>
      <c r="I22" s="9">
        <f t="shared" si="0"/>
        <v>8904.25</v>
      </c>
      <c r="J22" s="4">
        <f t="shared" si="1"/>
        <v>8815.2075000000004</v>
      </c>
    </row>
  </sheetData>
  <autoFilter ref="A1:J22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J7" sqref="J7"/>
    </sheetView>
  </sheetViews>
  <sheetFormatPr defaultRowHeight="14.25"/>
  <cols>
    <col min="1" max="1" width="18" customWidth="1"/>
    <col min="2" max="2" width="27.125" bestFit="1" customWidth="1"/>
    <col min="3" max="3" width="15.625" bestFit="1" customWidth="1"/>
    <col min="5" max="5" width="15" bestFit="1" customWidth="1"/>
    <col min="6" max="6" width="11" bestFit="1" customWidth="1"/>
    <col min="7" max="7" width="11.25" bestFit="1" customWidth="1"/>
    <col min="8" max="8" width="17.5" bestFit="1" customWidth="1"/>
    <col min="9" max="9" width="9.625" bestFit="1" customWidth="1"/>
  </cols>
  <sheetData>
    <row r="1" spans="1:9">
      <c r="A1" s="26" t="s">
        <v>179</v>
      </c>
      <c r="B1" s="15" t="s">
        <v>133</v>
      </c>
      <c r="C1" s="15" t="s">
        <v>134</v>
      </c>
      <c r="D1" s="15"/>
      <c r="E1" s="15" t="s">
        <v>135</v>
      </c>
      <c r="F1" s="15" t="s">
        <v>136</v>
      </c>
      <c r="G1" s="15" t="s">
        <v>167</v>
      </c>
      <c r="H1" s="26" t="s">
        <v>168</v>
      </c>
      <c r="I1" s="26" t="s">
        <v>169</v>
      </c>
    </row>
    <row r="2" spans="1:9">
      <c r="A2" s="27">
        <v>1</v>
      </c>
      <c r="B2" s="16" t="s">
        <v>59</v>
      </c>
      <c r="C2" s="14" t="s">
        <v>166</v>
      </c>
      <c r="D2" s="14" t="s">
        <v>138</v>
      </c>
      <c r="E2" s="19">
        <v>80090100003225</v>
      </c>
      <c r="F2" s="18">
        <v>2869.02</v>
      </c>
      <c r="G2" s="14" t="s">
        <v>154</v>
      </c>
      <c r="H2" s="14" t="s">
        <v>146</v>
      </c>
      <c r="I2" s="14">
        <v>9156556933</v>
      </c>
    </row>
    <row r="3" spans="1:9">
      <c r="A3" s="27">
        <v>2</v>
      </c>
      <c r="B3" s="16" t="s">
        <v>72</v>
      </c>
      <c r="C3" s="14" t="s">
        <v>147</v>
      </c>
      <c r="D3" s="14" t="s">
        <v>138</v>
      </c>
      <c r="E3" s="19">
        <v>750302010016829</v>
      </c>
      <c r="F3" s="18">
        <v>9756.2024999999994</v>
      </c>
      <c r="G3" s="14" t="s">
        <v>148</v>
      </c>
      <c r="H3" s="14" t="s">
        <v>149</v>
      </c>
      <c r="I3" s="14">
        <v>9936855983</v>
      </c>
    </row>
    <row r="4" spans="1:9">
      <c r="A4" s="27">
        <v>3</v>
      </c>
      <c r="B4" s="16" t="s">
        <v>81</v>
      </c>
      <c r="C4" s="14" t="s">
        <v>137</v>
      </c>
      <c r="D4" s="14" t="s">
        <v>138</v>
      </c>
      <c r="E4" s="19">
        <v>39321585102</v>
      </c>
      <c r="F4" s="18">
        <v>1664.5859033203126</v>
      </c>
      <c r="G4" s="14" t="s">
        <v>139</v>
      </c>
      <c r="H4" s="14" t="s">
        <v>140</v>
      </c>
      <c r="I4" s="14">
        <v>9226251819</v>
      </c>
    </row>
    <row r="5" spans="1:9">
      <c r="A5" s="27">
        <v>4</v>
      </c>
      <c r="B5" s="16" t="s">
        <v>88</v>
      </c>
      <c r="C5" s="14" t="s">
        <v>176</v>
      </c>
      <c r="D5" s="14" t="s">
        <v>138</v>
      </c>
      <c r="E5" s="22" t="s">
        <v>177</v>
      </c>
      <c r="F5" s="18">
        <v>304.47454833984375</v>
      </c>
      <c r="G5" s="18" t="s">
        <v>178</v>
      </c>
      <c r="H5" s="14" t="s">
        <v>159</v>
      </c>
      <c r="I5" s="14">
        <v>8806908463</v>
      </c>
    </row>
    <row r="6" spans="1:9">
      <c r="A6" s="27">
        <v>5</v>
      </c>
      <c r="B6" s="16" t="s">
        <v>92</v>
      </c>
      <c r="C6" s="14" t="s">
        <v>174</v>
      </c>
      <c r="D6" s="14" t="s">
        <v>138</v>
      </c>
      <c r="E6" s="23">
        <v>42874534297</v>
      </c>
      <c r="F6" s="18">
        <v>184.04102416992188</v>
      </c>
      <c r="G6" s="18" t="s">
        <v>175</v>
      </c>
      <c r="H6" s="14" t="s">
        <v>140</v>
      </c>
      <c r="I6" s="14">
        <v>9284111681</v>
      </c>
    </row>
    <row r="7" spans="1:9">
      <c r="A7" s="27">
        <v>6</v>
      </c>
      <c r="B7" s="16" t="s">
        <v>96</v>
      </c>
      <c r="C7" s="14" t="s">
        <v>165</v>
      </c>
      <c r="D7" s="14" t="s">
        <v>138</v>
      </c>
      <c r="E7" s="23">
        <v>25034936342</v>
      </c>
      <c r="F7" s="18">
        <v>1837.3904516601563</v>
      </c>
      <c r="G7" s="14" t="s">
        <v>155</v>
      </c>
      <c r="H7" s="14" t="s">
        <v>156</v>
      </c>
      <c r="I7" s="14">
        <v>8329698467</v>
      </c>
    </row>
    <row r="8" spans="1:9">
      <c r="A8" s="27">
        <v>7</v>
      </c>
      <c r="B8" s="16" t="s">
        <v>103</v>
      </c>
      <c r="C8" s="14" t="s">
        <v>172</v>
      </c>
      <c r="D8" s="14" t="s">
        <v>138</v>
      </c>
      <c r="E8" s="19">
        <v>572302120018781</v>
      </c>
      <c r="F8" s="18">
        <v>5427.5265966796878</v>
      </c>
      <c r="G8" s="14" t="s">
        <v>173</v>
      </c>
      <c r="H8" s="14" t="s">
        <v>149</v>
      </c>
      <c r="I8" s="14">
        <v>8084843092</v>
      </c>
    </row>
    <row r="9" spans="1:9">
      <c r="A9" s="27">
        <v>8</v>
      </c>
      <c r="B9" s="16" t="s">
        <v>106</v>
      </c>
      <c r="C9" s="14" t="s">
        <v>141</v>
      </c>
      <c r="D9" s="14" t="s">
        <v>138</v>
      </c>
      <c r="E9" s="23" t="s">
        <v>142</v>
      </c>
      <c r="F9" s="18">
        <v>8429.4043066406248</v>
      </c>
      <c r="G9" s="14" t="s">
        <v>143</v>
      </c>
      <c r="H9" s="14" t="s">
        <v>144</v>
      </c>
      <c r="I9" s="14">
        <v>8638643859</v>
      </c>
    </row>
    <row r="10" spans="1:9">
      <c r="A10" s="27">
        <v>9</v>
      </c>
      <c r="B10" s="16" t="s">
        <v>109</v>
      </c>
      <c r="C10" s="14" t="s">
        <v>164</v>
      </c>
      <c r="D10" s="14" t="s">
        <v>138</v>
      </c>
      <c r="E10" s="19">
        <v>31194991598</v>
      </c>
      <c r="F10" s="18">
        <v>3023.8065966796876</v>
      </c>
      <c r="G10" s="14" t="s">
        <v>157</v>
      </c>
      <c r="H10" s="14" t="s">
        <v>140</v>
      </c>
      <c r="I10" s="14">
        <v>7350987782</v>
      </c>
    </row>
    <row r="11" spans="1:9">
      <c r="A11" s="27">
        <v>10</v>
      </c>
      <c r="B11" s="16" t="s">
        <v>113</v>
      </c>
      <c r="C11" s="14" t="s">
        <v>163</v>
      </c>
      <c r="D11" s="14" t="s">
        <v>138</v>
      </c>
      <c r="E11" s="24">
        <v>4050174360</v>
      </c>
      <c r="F11" s="18">
        <v>4469.2559033203124</v>
      </c>
      <c r="G11" s="20" t="s">
        <v>158</v>
      </c>
      <c r="H11" s="20" t="s">
        <v>159</v>
      </c>
      <c r="I11" s="14">
        <v>7517557492</v>
      </c>
    </row>
    <row r="12" spans="1:9">
      <c r="A12" s="27">
        <v>11</v>
      </c>
      <c r="B12" s="16" t="s">
        <v>117</v>
      </c>
      <c r="C12" s="21" t="s">
        <v>170</v>
      </c>
      <c r="D12" s="14" t="s">
        <v>138</v>
      </c>
      <c r="E12" s="25">
        <v>68035888954</v>
      </c>
      <c r="F12" s="18">
        <v>4394.2634033203121</v>
      </c>
      <c r="G12" s="21" t="s">
        <v>171</v>
      </c>
      <c r="H12" s="21" t="s">
        <v>156</v>
      </c>
      <c r="I12" s="14"/>
    </row>
    <row r="13" spans="1:9">
      <c r="A13" s="27">
        <v>12</v>
      </c>
      <c r="B13" s="16" t="s">
        <v>119</v>
      </c>
      <c r="C13" s="14" t="s">
        <v>145</v>
      </c>
      <c r="D13" s="14" t="s">
        <v>138</v>
      </c>
      <c r="E13" s="19">
        <v>48960100002806</v>
      </c>
      <c r="F13" s="18">
        <v>6108.2110546875001</v>
      </c>
      <c r="G13" s="17" t="s">
        <v>188</v>
      </c>
      <c r="H13" s="14" t="s">
        <v>146</v>
      </c>
      <c r="I13" s="14">
        <v>9923769623</v>
      </c>
    </row>
    <row r="14" spans="1:9">
      <c r="A14" s="27">
        <v>13</v>
      </c>
      <c r="B14" s="16" t="s">
        <v>121</v>
      </c>
      <c r="C14" s="14" t="s">
        <v>162</v>
      </c>
      <c r="D14" s="14" t="s">
        <v>138</v>
      </c>
      <c r="E14" s="23">
        <v>36437425035</v>
      </c>
      <c r="F14" s="18">
        <v>1996.1865966796875</v>
      </c>
      <c r="G14" s="18" t="s">
        <v>180</v>
      </c>
      <c r="H14" s="14" t="s">
        <v>140</v>
      </c>
      <c r="I14" s="14">
        <v>8010197548</v>
      </c>
    </row>
    <row r="15" spans="1:9">
      <c r="A15" s="27">
        <v>14</v>
      </c>
      <c r="B15" s="16" t="s">
        <v>122</v>
      </c>
      <c r="C15" s="14" t="s">
        <v>160</v>
      </c>
      <c r="D15" s="14" t="s">
        <v>138</v>
      </c>
      <c r="E15" s="19" t="s">
        <v>150</v>
      </c>
      <c r="F15" s="18">
        <v>12184.969306640625</v>
      </c>
      <c r="G15" s="14" t="s">
        <v>151</v>
      </c>
      <c r="H15" s="14" t="s">
        <v>152</v>
      </c>
      <c r="I15" s="14">
        <v>8808099254</v>
      </c>
    </row>
    <row r="16" spans="1:9">
      <c r="A16" s="27">
        <v>15</v>
      </c>
      <c r="B16" s="16" t="s">
        <v>125</v>
      </c>
      <c r="C16" s="14" t="s">
        <v>161</v>
      </c>
      <c r="D16" s="14" t="s">
        <v>138</v>
      </c>
      <c r="E16" s="19">
        <v>921010042861859</v>
      </c>
      <c r="F16" s="18">
        <v>8815.2075000000004</v>
      </c>
      <c r="G16" s="14" t="s">
        <v>153</v>
      </c>
      <c r="H16" s="14" t="s">
        <v>144</v>
      </c>
      <c r="I16" s="14">
        <v>8600180668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Sheet1</vt:lpstr>
      <vt:lpstr>Sheet2</vt:lpstr>
      <vt:lpstr>BANK FILE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akshay.pagare@bigbasket.com</dc:creator>
  <cp:lastModifiedBy>HP</cp:lastModifiedBy>
  <dcterms:created xsi:type="dcterms:W3CDTF">2025-06-23T11:19:06Z</dcterms:created>
  <dcterms:modified xsi:type="dcterms:W3CDTF">2025-08-07T06:10:08Z</dcterms:modified>
</cp:coreProperties>
</file>