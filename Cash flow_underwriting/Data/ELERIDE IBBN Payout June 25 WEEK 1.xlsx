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455" activeTab="4"/>
  </bookViews>
  <sheets>
    <sheet name="Sheet3" sheetId="5" r:id="rId1"/>
    <sheet name="Sheet1" sheetId="1" r:id="rId2"/>
    <sheet name="Sheet2" sheetId="2" r:id="rId3"/>
    <sheet name="Payment File" sheetId="3" r:id="rId4"/>
    <sheet name="Bank File" sheetId="4" r:id="rId5"/>
  </sheets>
  <definedNames>
    <definedName name="_xlnm._FilterDatabase" localSheetId="2" hidden="1">Sheet2!$A$1:$I$16</definedName>
  </definedNames>
  <calcPr calcId="152511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5" l="1"/>
  <c r="D24" i="5"/>
  <c r="E24" i="5"/>
  <c r="B24" i="5"/>
  <c r="H3" i="2" l="1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2" i="2"/>
  <c r="I2" i="2" s="1"/>
  <c r="F2" i="2"/>
</calcChain>
</file>

<file path=xl/sharedStrings.xml><?xml version="1.0" encoding="utf-8"?>
<sst xmlns="http://schemas.openxmlformats.org/spreadsheetml/2006/main" count="410" uniqueCount="168">
  <si>
    <t>year</t>
  </si>
  <si>
    <t>month</t>
  </si>
  <si>
    <t>week</t>
  </si>
  <si>
    <t>cee_id</t>
  </si>
  <si>
    <t>cee_name</t>
  </si>
  <si>
    <t>cee_employment_category</t>
  </si>
  <si>
    <t>cee_category</t>
  </si>
  <si>
    <t>city</t>
  </si>
  <si>
    <t>store</t>
  </si>
  <si>
    <t>store_type</t>
  </si>
  <si>
    <t>lmd_provider</t>
  </si>
  <si>
    <t>delivery_mode</t>
  </si>
  <si>
    <t>rate_card_id</t>
  </si>
  <si>
    <t>MG Status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</si>
  <si>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</si>
  <si>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</si>
  <si>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</si>
  <si>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</si>
  <si>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</si>
  <si>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</si>
  <si>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</si>
  <si>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</si>
  <si>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</si>
  <si>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</si>
  <si>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cancelled_order_payout</t>
  </si>
  <si>
    <t>pickup_order_payout</t>
  </si>
  <si>
    <t>order_base_payout</t>
  </si>
  <si>
    <t>surge_payout</t>
  </si>
  <si>
    <t>peak_hour_payout</t>
  </si>
  <si>
    <t>order_distance_payout</t>
  </si>
  <si>
    <t>daily_order_payout</t>
  </si>
  <si>
    <t>weekly_order_payout</t>
  </si>
  <si>
    <t>monthly_order_payout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</si>
  <si>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</si>
  <si>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</si>
  <si>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</si>
  <si>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</si>
  <si>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</si>
  <si>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</si>
  <si>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</si>
  <si>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</si>
  <si>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</si>
  <si>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</si>
  <si>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</si>
  <si>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</si>
  <si>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base_pay</t>
  </si>
  <si>
    <t>incentive_total</t>
  </si>
  <si>
    <t>total_without_arrears</t>
  </si>
  <si>
    <t>total_with_arrears</t>
  </si>
  <si>
    <t>total_with_arrears_and_deductions</t>
  </si>
  <si>
    <t>management_fee</t>
  </si>
  <si>
    <t>total_with_management_fee</t>
  </si>
  <si>
    <t>tds</t>
  </si>
  <si>
    <t>gst</t>
  </si>
  <si>
    <t>final_with_gst</t>
  </si>
  <si>
    <t>ELERIDEFIRSTDHAMMPAL AVHAD</t>
  </si>
  <si>
    <t>TPL CEE</t>
  </si>
  <si>
    <t>EV</t>
  </si>
  <si>
    <t>PUNE</t>
  </si>
  <si>
    <t>BSPUN-HINJEWADI-GS1</t>
  </si>
  <si>
    <t>INTEGRATED</t>
  </si>
  <si>
    <t>ELERIDE MOBILITY SOLUTIONS PVT LTD</t>
  </si>
  <si>
    <t>BIKE</t>
  </si>
  <si>
    <t>INTEGRATED-IBBN-RC-008583-18</t>
  </si>
  <si>
    <t>Service Fees</t>
  </si>
  <si>
    <t>7 DAYS</t>
  </si>
  <si>
    <t/>
  </si>
  <si>
    <t>ELERIDESUNILDATTATRAY0RAUT</t>
  </si>
  <si>
    <t>TAPASH KUMAR SAHAELERIDE</t>
  </si>
  <si>
    <t>IBND DEDUCTION</t>
  </si>
  <si>
    <t>MANJURULLAHKHAN ELERIDE</t>
  </si>
  <si>
    <t>NEV</t>
  </si>
  <si>
    <t>INTEGRATED-IBBN-RC-008582-19</t>
  </si>
  <si>
    <t>IBND DEDUCTION, PREVIOUS PAYOUT EXTRA AMOUNT</t>
  </si>
  <si>
    <t>MONUJRAJKONWAR</t>
  </si>
  <si>
    <t>LSV</t>
  </si>
  <si>
    <t>SAURABHKANK</t>
  </si>
  <si>
    <t>DAYANANDKALE</t>
  </si>
  <si>
    <t>BSPUN-JAGDISHNAGAR-BS2</t>
  </si>
  <si>
    <t>INTEGRATED-IBBN-RC-009659-10</t>
  </si>
  <si>
    <t>SADDLEBAG DAMAGED OR NOT SUBMITTED</t>
  </si>
  <si>
    <t>NIKHIL RAJU GUPTELERIDE BREAK</t>
  </si>
  <si>
    <t>BSPUN-KSQARE-BANER-BS1</t>
  </si>
  <si>
    <t>INTEGRATED-IBBN-RC-009931-15</t>
  </si>
  <si>
    <t>AMANJAISWAL</t>
  </si>
  <si>
    <t>INTEGRATED-IBBN-RC-009926-15</t>
  </si>
  <si>
    <t>IMRANSHAIKH</t>
  </si>
  <si>
    <t>BSPUN-WAKAD-BS1</t>
  </si>
  <si>
    <t>INTEGRATED-IBBN-RC-009932-15</t>
  </si>
  <si>
    <t>WRONG CALCULATION AT IMPLEMENTATION TIME</t>
  </si>
  <si>
    <t>ROHAN SUDHKAR CHAVANELRD  BREAK</t>
  </si>
  <si>
    <t>T1EX-PUN-BANER</t>
  </si>
  <si>
    <t>INTEGRATED-IBBN-RC-011702-6</t>
  </si>
  <si>
    <t>ADESH KUMAR RAWATELERIDE</t>
  </si>
  <si>
    <t>GAURAOJAISWAL</t>
  </si>
  <si>
    <t>T1EX-PUN-PIMPRI</t>
  </si>
  <si>
    <t>INTEGRATED-IBBN-RC-013235-7</t>
  </si>
  <si>
    <t>SACHIN NAYASE7350987782</t>
  </si>
  <si>
    <t>T1EX-PUN-WAGHOLI</t>
  </si>
  <si>
    <t>INTEGRATED-IBBN-RC-009587-14</t>
  </si>
  <si>
    <t>SANTOSH NAYASE7517557492</t>
  </si>
  <si>
    <t>INTEGRATED-IBBN-RC-009586-13</t>
  </si>
  <si>
    <t>DHAMMPAL AVHAD</t>
  </si>
  <si>
    <t>SUNILDATTATRAY0RAUT</t>
  </si>
  <si>
    <t>TAPASH KUMAR SAHA</t>
  </si>
  <si>
    <t xml:space="preserve">MANJURULLAHKHAN </t>
  </si>
  <si>
    <t>NIKHIL RAJU GUPT</t>
  </si>
  <si>
    <t>ROHAN SUDHKAR CHAVAN</t>
  </si>
  <si>
    <t>ADESH KUMAR RAWAT</t>
  </si>
  <si>
    <t>SACHIN NAYASE</t>
  </si>
  <si>
    <t>SANTOSH NAYASE</t>
  </si>
  <si>
    <t>Advance</t>
  </si>
  <si>
    <t>Negative</t>
  </si>
  <si>
    <t>Rental</t>
  </si>
  <si>
    <t>TDS PAY</t>
  </si>
  <si>
    <t>Final Pay</t>
  </si>
  <si>
    <t>Sr No</t>
  </si>
  <si>
    <t>Banking Name</t>
  </si>
  <si>
    <t>Account No</t>
  </si>
  <si>
    <t>IFSC Code</t>
  </si>
  <si>
    <t>Bank Name</t>
  </si>
  <si>
    <t>Amount</t>
  </si>
  <si>
    <t>SBIN0017208</t>
  </si>
  <si>
    <t>SBI BANK</t>
  </si>
  <si>
    <t>924010043095487</t>
  </si>
  <si>
    <t>UTIB0000168</t>
  </si>
  <si>
    <t>AXIS BANK</t>
  </si>
  <si>
    <t>1776001700036318</t>
  </si>
  <si>
    <t>PUNB0177600</t>
  </si>
  <si>
    <t>PUNJAB NATIONAL BANK</t>
  </si>
  <si>
    <t>UBIN0575038</t>
  </si>
  <si>
    <t>Union Bank</t>
  </si>
  <si>
    <t>UTIB0000338</t>
  </si>
  <si>
    <t>KKBK0005079</t>
  </si>
  <si>
    <t>KOTAK MAHINDRA BANK</t>
  </si>
  <si>
    <t>SBIN0000419</t>
  </si>
  <si>
    <t>KKBK0001793</t>
  </si>
  <si>
    <t>Aman Singh</t>
  </si>
  <si>
    <t>Rohan Chavan</t>
  </si>
  <si>
    <t>Adesh Rawat</t>
  </si>
  <si>
    <t>Sachin Nayase</t>
  </si>
  <si>
    <t>Santosh Nayase</t>
  </si>
  <si>
    <t>Gaurao Jaiswal</t>
  </si>
  <si>
    <t>MONUJ RAJKONWAR</t>
  </si>
  <si>
    <t xml:space="preserve">MANJUR ULLAH KHAN </t>
  </si>
  <si>
    <t>MAHB0000059</t>
  </si>
  <si>
    <t>BANK OF MAHARASHTRA</t>
  </si>
  <si>
    <t>UTIB0004625</t>
  </si>
  <si>
    <t>Axis Bank</t>
  </si>
  <si>
    <t>BARB0MANGA0</t>
  </si>
  <si>
    <t>BANK OF BARODA</t>
  </si>
  <si>
    <t>SAURABH KANK</t>
  </si>
  <si>
    <t>DAYANAND KALE</t>
  </si>
  <si>
    <t>Aman Jaiswal</t>
  </si>
  <si>
    <t>Name</t>
  </si>
  <si>
    <t>Transfer Type</t>
  </si>
  <si>
    <t>Acc No</t>
  </si>
  <si>
    <t xml:space="preserve">IFSC </t>
  </si>
  <si>
    <t>Phone No</t>
  </si>
  <si>
    <t>Remarks</t>
  </si>
  <si>
    <t>NEFT</t>
  </si>
  <si>
    <t>Row Labels</t>
  </si>
  <si>
    <t>(blank)</t>
  </si>
  <si>
    <t>Grand Total</t>
  </si>
  <si>
    <t>Sum of delivered_orders</t>
  </si>
  <si>
    <t>Sum of total_with_arrears_and_deductions</t>
  </si>
  <si>
    <t>Sum of management_fee</t>
  </si>
  <si>
    <t>Sum of total_with_management_fee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</si>
</sst>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"/>
    <numFmt numFmtId="165" formatCode="###0.##"/>
  </numFmts>
  <fonts count="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5" fontId="1" fillId="0" borderId="1" xfId="0" applyNumberFormat="1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Fill="1" applyBorder="1"/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/>
    <xf numFmtId="1" fontId="3" fillId="0" borderId="1" xfId="0" applyNumberFormat="1" applyFont="1" applyBorder="1"/>
    <xf numFmtId="1" fontId="1" fillId="0" borderId="0" xfId="0" applyNumberFormat="1" applyFont="1"/>
    <xf numFmtId="1" fontId="5" fillId="0" borderId="1" xfId="0" applyNumberFormat="1" applyFont="1" applyBorder="1" applyAlignment="1">
      <alignment horizontal="right"/>
    </xf>
    <xf numFmtId="2" fontId="5" fillId="0" borderId="1" xfId="0" applyNumberFormat="1" applyFont="1" applyBorder="1"/>
    <xf numFmtId="0" fontId="5" fillId="0" borderId="1" xfId="0" applyFont="1" applyBorder="1"/>
    <xf numFmtId="1" fontId="5" fillId="0" borderId="1" xfId="0" applyNumberFormat="1" applyFont="1" applyBorder="1"/>
    <xf numFmtId="0" fontId="5" fillId="0" borderId="1" xfId="0" applyFont="1" applyFill="1" applyBorder="1"/>
    <xf numFmtId="0" fontId="5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1" fillId="0" borderId="0" xfId="0" applyNumberFormat="1" applyFont="1"/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819.43834375" createdVersion="5" refreshedVersion="5" minRefreshableVersion="3" recordCount="16">
  <cacheSource type="worksheet">
    <worksheetSource ref="A1:BC1048576" sheet="Sheet1"/>
  </cacheSource>
  <cacheFields count="55">
    <cacheField name="year" numFmtId="0">
      <sharedItems containsString="0" containsBlank="1" containsNumber="1" containsInteger="1" minValue="2025" maxValue="2025"/>
    </cacheField>
    <cacheField name="month" numFmtId="0">
      <sharedItems containsString="0" containsBlank="1" containsNumber="1" containsInteger="1" minValue="6" maxValue="6"/>
    </cacheField>
    <cacheField name="week" numFmtId="0">
      <sharedItems containsString="0" containsBlank="1" containsNumber="1" containsInteger="1" minValue="1" maxValue="1"/>
    </cacheField>
    <cacheField name="cee_id" numFmtId="0">
      <sharedItems containsString="0" containsBlank="1" containsNumber="1" containsInteger="1" minValue="735193" maxValue="799654"/>
    </cacheField>
    <cacheField name="cee_name" numFmtId="0">
      <sharedItems containsBlank="1"/>
    </cacheField>
    <cacheField name="cee_employment_category" numFmtId="0">
      <sharedItems containsBlank="1"/>
    </cacheField>
    <cacheField name="cee_category" numFmtId="0">
      <sharedItems containsBlank="1"/>
    </cacheField>
    <cacheField name="city" numFmtId="0">
      <sharedItems containsBlank="1"/>
    </cacheField>
    <cacheField name="store" numFmtId="0">
      <sharedItems containsBlank="1" count="8">
        <s v="BSPUN-HINJEWADI-GS1"/>
        <s v="BSPUN-JAGDISHNAGAR-BS2"/>
        <s v="BSPUN-KSQARE-BANER-BS1"/>
        <s v="BSPUN-WAKAD-BS1"/>
        <s v="T1EX-PUN-BANER"/>
        <s v="T1EX-PUN-PIMPRI"/>
        <s v="T1EX-PUN-WAGHOLI"/>
        <m/>
      </sharedItems>
    </cacheField>
    <cacheField name="store_type" numFmtId="0">
      <sharedItems containsBlank="1"/>
    </cacheField>
    <cacheField name="lmd_provider" numFmtId="0">
      <sharedItems containsBlank="1"/>
    </cacheField>
    <cacheField name="delivery_mode" numFmtId="0">
      <sharedItems containsBlank="1"/>
    </cacheField>
    <cacheField name="rate_card_id" numFmtId="0">
      <sharedItems containsBlank="1"/>
    </cacheField>
    <cacheField name="MG Status" numFmtId="0">
      <sharedItems containsBlank="1"/>
    </cacheField>
    <cacheField name="settlement_frequency" numFmtId="0">
      <sharedItems containsBlank="1"/>
    </cacheField>
    <cacheField name="delivered_orders" numFmtId="0">
      <sharedItems containsString="0" containsBlank="1" containsNumber="1" containsInteger="1" minValue="2" maxValue="270"/>
    </cacheField>
    <cacheField name="cancelled_orders" numFmtId="0">
      <sharedItems containsString="0" containsBlank="1" containsNumber="1" containsInteger="1" minValue="0" maxValue="5"/>
    </cacheField>
    <cacheField name="pickup_orders" numFmtId="0">
      <sharedItems containsString="0" containsBlank="1" containsNumber="1" containsInteger="1" minValue="0" maxValue="28"/>
    </cacheField>
    <cacheField name="weekday_orders" numFmtId="0">
      <sharedItems containsString="0" containsBlank="1" containsNumber="1" containsInteger="1" minValue="0" maxValue="191"/>
    </cacheField>
    <cacheField name="weekend_orders" numFmtId="0">
      <sharedItems containsString="0" containsBlank="1" containsNumber="1" containsInteger="1" minValue="0" maxValue="79"/>
    </cacheField>
    <cacheField name="incentivised_orders" numFmtId="0">
      <sharedItems containsString="0" containsBlank="1" containsNumber="1" containsInteger="1" minValue="2" maxValue="298"/>
    </cacheField>
    <cacheField name="attendance" numFmtId="0">
      <sharedItems containsString="0" containsBlank="1" containsNumber="1" containsInteger="1" minValue="1" maxValue="7"/>
    </cacheField>
    <cacheField name="month_attendance" numFmtId="0">
      <sharedItems containsString="0" containsBlank="1" containsNumber="1" containsInteger="1" minValue="0" maxValue="0"/>
    </cacheField>
    <cacheField name="distance" numFmtId="0">
      <sharedItems containsString="0" containsBlank="1" containsNumber="1" minValue="5.5300002098083496" maxValue="581.72998046875"/>
    </cacheField>
    <cacheField name="cancelled_order_payout" numFmtId="0">
      <sharedItems containsString="0" containsBlank="1" containsNumber="1" containsInteger="1" minValue="0" maxValue="125"/>
    </cacheField>
    <cacheField name="pickup_order_payout" numFmtId="0">
      <sharedItems containsString="0" containsBlank="1" containsNumber="1" containsInteger="1" minValue="0" maxValue="700"/>
    </cacheField>
    <cacheField name="order_base_payout" numFmtId="0">
      <sharedItems containsString="0" containsBlank="1" containsNumber="1" containsInteger="1" minValue="50" maxValue="7575"/>
    </cacheField>
    <cacheField name="surge_payout" numFmtId="0">
      <sharedItems containsString="0" containsBlank="1" containsNumber="1" containsInteger="1" minValue="0" maxValue="155"/>
    </cacheField>
    <cacheField name="peak_hour_payout" numFmtId="0">
      <sharedItems containsString="0" containsBlank="1" containsNumber="1" containsInteger="1" minValue="20" maxValue="6780"/>
    </cacheField>
    <cacheField name="order_distance_payout" numFmtId="0">
      <sharedItems containsString="0" containsBlank="1" containsNumber="1" minValue="0" maxValue="474.60000610351562"/>
    </cacheField>
    <cacheField name="daily_order_payout" numFmtId="0">
      <sharedItems containsString="0" containsBlank="1" containsNumber="1" containsInteger="1" minValue="0" maxValue="4470"/>
    </cacheField>
    <cacheField name="weekly_order_payout" numFmtId="0">
      <sharedItems containsString="0" containsBlank="1" containsNumber="1" containsInteger="1" minValue="0" maxValue="0"/>
    </cacheField>
    <cacheField name="monthly_order_payout" numFmtId="0">
      <sharedItems containsString="0" containsBlank="1" containsNumber="1" containsInteger="1" minValue="0" maxValue="0"/>
    </cacheField>
    <cacheField name="weight_payout" numFmtId="0">
      <sharedItems containsString="0" containsBlank="1" containsNumber="1" containsInteger="1" minValue="0" maxValue="80"/>
    </cacheField>
    <cacheField name="day_payout" numFmtId="0">
      <sharedItems containsString="0" containsBlank="1" containsNumber="1" containsInteger="1" minValue="0" maxValue="261"/>
    </cacheField>
    <cacheField name="joining_bonus" numFmtId="0">
      <sharedItems containsString="0" containsBlank="1" containsNumber="1" containsInteger="1" minValue="0" maxValue="0"/>
    </cacheField>
    <cacheField name="weekly_attendance_payout" numFmtId="0">
      <sharedItems containsString="0" containsBlank="1" containsNumber="1" containsInteger="1" minValue="0" maxValue="800"/>
    </cacheField>
    <cacheField name="monthly_attendance_payout" numFmtId="0">
      <sharedItems containsString="0" containsBlank="1" containsNumber="1" containsInteger="1" minValue="0" maxValue="0"/>
    </cacheField>
    <cacheField name="service_time" numFmtId="0">
      <sharedItems containsString="0" containsBlank="1" containsNumber="1" minValue="1.0922777652740479" maxValue="63"/>
    </cacheField>
    <cacheField name="minimum_guarantee" numFmtId="0">
      <sharedItems containsString="0" containsBlank="1" containsNumber="1" containsInteger="1" minValue="0" maxValue="600"/>
    </cacheField>
    <cacheField name="mg_eligible_days" numFmtId="0">
      <sharedItems containsString="0" containsBlank="1" containsNumber="1" containsInteger="1" minValue="0" maxValue="2"/>
    </cacheField>
    <cacheField name="arrears_amount" numFmtId="0">
      <sharedItems containsString="0" containsBlank="1" containsNumber="1" containsInteger="1" minValue="0" maxValue="0"/>
    </cacheField>
    <cacheField name="arrears_reason" numFmtId="0">
      <sharedItems containsBlank="1"/>
    </cacheField>
    <cacheField name="deductions_amount" numFmtId="0">
      <sharedItems containsString="0" containsBlank="1" containsNumber="1" minValue="0" maxValue="2100"/>
    </cacheField>
    <cacheField name="deductions_reason" numFmtId="0">
      <sharedItems containsBlank="1"/>
    </cacheField>
    <cacheField name="base_pay" numFmtId="0">
      <sharedItems containsString="0" containsBlank="1" containsNumber="1" minValue="77.5" maxValue="19907.650390625"/>
    </cacheField>
    <cacheField name="incentive_total" numFmtId="0">
      <sharedItems containsString="0" containsBlank="1" containsNumber="1" minValue="27.5" maxValue="12332.650390625"/>
    </cacheField>
    <cacheField name="total_without_arrears" numFmtId="0">
      <sharedItems containsString="0" containsBlank="1" containsNumber="1" minValue="77.5" maxValue="19907.650390625"/>
    </cacheField>
    <cacheField name="total_with_arrears" numFmtId="0">
      <sharedItems containsString="0" containsBlank="1" containsNumber="1" minValue="77.5" maxValue="19907.650390625"/>
    </cacheField>
    <cacheField name="total_with_arrears_and_deductions" numFmtId="0">
      <sharedItems containsString="0" containsBlank="1" containsNumber="1" minValue="-1838" maxValue="19907.650390625"/>
    </cacheField>
    <cacheField name="management_fee" numFmtId="0">
      <sharedItems containsString="0" containsBlank="1" containsNumber="1" minValue="4" maxValue="606"/>
    </cacheField>
    <cacheField name="total_with_management_fee" numFmtId="0">
      <sharedItems containsString="0" containsBlank="1" containsNumber="1" minValue="-1828.4" maxValue="20513.650390625"/>
    </cacheField>
    <cacheField name="tds" numFmtId="0">
      <sharedItems containsString="0" containsBlank="1" containsNumber="1" containsInteger="1" minValue="0" maxValue="0"/>
    </cacheField>
    <cacheField name="gst" numFmtId="0">
      <sharedItems containsString="0" containsBlank="1" containsNumber="1" minValue="-329.11200000000002" maxValue="3692.4570703125"/>
    </cacheField>
    <cacheField name="final_with_gst" numFmtId="0">
      <sharedItems containsString="0" containsBlank="1" containsNumber="1" minValue="-2157.5120000000002" maxValue="24206.1074609374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n v="2025"/>
    <n v="6"/>
    <n v="1"/>
    <n v="735193"/>
    <s v="ELERIDEFIRSTDHAMMPAL AVHAD"/>
    <s v="TPL CEE"/>
    <s v="EV"/>
    <s v="PUNE"/>
    <x v="0"/>
    <s v="INTEGRATED"/>
    <s v="ELERIDE MOBILITY SOLUTIONS PVT LTD"/>
    <s v="BIKE"/>
    <s v="INTEGRATED-IBBN-RC-008583-18"/>
    <s v="Service Fees"/>
    <s v="7 DAYS"/>
    <n v="46"/>
    <n v="0"/>
    <n v="0"/>
    <n v="38"/>
    <n v="8"/>
    <n v="46"/>
    <n v="4"/>
    <n v="0"/>
    <n v="103.44000244140625"/>
    <n v="0"/>
    <n v="0"/>
    <n v="1150"/>
    <n v="0"/>
    <n v="280"/>
    <n v="28.049999237060547"/>
    <n v="17"/>
    <n v="0"/>
    <n v="0"/>
    <n v="0"/>
    <n v="24"/>
    <n v="0"/>
    <n v="0"/>
    <n v="0"/>
    <n v="17.850421905517578"/>
    <n v="0"/>
    <n v="0"/>
    <n v="0"/>
    <s v=""/>
    <n v="0"/>
    <s v=""/>
    <n v="1499.050048828125"/>
    <n v="349.04998779296875"/>
    <n v="1499.050048828125"/>
    <n v="1499.050048828125"/>
    <n v="1499.050048828125"/>
    <n v="92"/>
    <n v="1591.050048828125"/>
    <n v="0"/>
    <n v="286.38900878906247"/>
    <n v="1877.4390576171875"/>
  </r>
  <r>
    <n v="2025"/>
    <n v="6"/>
    <n v="1"/>
    <n v="744645"/>
    <s v="ELERIDESUNILDATTATRAY0RAUT"/>
    <s v="TPL CEE"/>
    <s v="EV"/>
    <s v="PUNE"/>
    <x v="0"/>
    <s v="INTEGRATED"/>
    <s v="ELERIDE MOBILITY SOLUTIONS PVT LTD"/>
    <s v="BIKE"/>
    <s v="INTEGRATED-IBBN-RC-008583-18"/>
    <s v="Service Fees"/>
    <s v="7 DAYS"/>
    <n v="52"/>
    <n v="1"/>
    <n v="0"/>
    <n v="52"/>
    <n v="0"/>
    <n v="52"/>
    <n v="4"/>
    <n v="0"/>
    <n v="134.75999450683594"/>
    <n v="25"/>
    <n v="0"/>
    <n v="1325"/>
    <n v="20"/>
    <n v="190"/>
    <n v="47.200000762939453"/>
    <n v="29"/>
    <n v="0"/>
    <n v="0"/>
    <n v="0"/>
    <n v="0"/>
    <n v="0"/>
    <n v="0"/>
    <n v="0"/>
    <n v="23.540777206420898"/>
    <n v="0"/>
    <n v="0"/>
    <n v="0"/>
    <s v=""/>
    <n v="0"/>
    <s v=""/>
    <n v="1611.199951171875"/>
    <n v="286.20001220703125"/>
    <n v="1611.199951171875"/>
    <n v="1611.199951171875"/>
    <n v="1611.199951171875"/>
    <n v="106"/>
    <n v="1717.199951171875"/>
    <n v="0"/>
    <n v="309.09599121093748"/>
    <n v="2026.2959423828124"/>
  </r>
  <r>
    <n v="2025"/>
    <n v="6"/>
    <n v="1"/>
    <n v="753406"/>
    <s v="TAPASH KUMAR SAHAELERIDE"/>
    <s v="TPL CEE"/>
    <s v="EV"/>
    <s v="PUNE"/>
    <x v="0"/>
    <s v="INTEGRATED"/>
    <s v="ELERIDE MOBILITY SOLUTIONS PVT LTD"/>
    <s v="BIKE"/>
    <s v="INTEGRATED-IBBN-RC-008583-18"/>
    <s v="Service Fees"/>
    <s v="7 DAYS"/>
    <n v="133"/>
    <n v="0"/>
    <n v="0"/>
    <n v="112"/>
    <n v="21"/>
    <n v="133"/>
    <n v="7"/>
    <n v="0"/>
    <n v="340.489990234375"/>
    <n v="0"/>
    <n v="0"/>
    <n v="3325"/>
    <n v="50"/>
    <n v="700"/>
    <n v="121.40000152587891"/>
    <n v="69"/>
    <n v="0"/>
    <n v="0"/>
    <n v="0"/>
    <n v="63"/>
    <n v="0"/>
    <n v="250"/>
    <n v="0"/>
    <n v="43.944721221923828"/>
    <n v="600"/>
    <n v="2"/>
    <n v="0"/>
    <s v=""/>
    <n v="60"/>
    <s v="IBND DEDUCTION"/>
    <n v="4578.39990234375"/>
    <n v="1253.4000244140625"/>
    <n v="5178.39990234375"/>
    <n v="5178.39990234375"/>
    <n v="5118.39990234375"/>
    <n v="266"/>
    <n v="5384.39990234375"/>
    <n v="0"/>
    <n v="969.19198242187497"/>
    <n v="6353.5918847656249"/>
  </r>
  <r>
    <n v="2025"/>
    <n v="6"/>
    <n v="1"/>
    <n v="784832"/>
    <s v="MANJURULLAHKHAN ELERIDE"/>
    <s v="TPL CEE"/>
    <s v="NEV"/>
    <s v="PUNE"/>
    <x v="0"/>
    <s v="INTEGRATED"/>
    <s v="ELERIDE MOBILITY SOLUTIONS PVT LTD"/>
    <s v="BIKE"/>
    <s v="INTEGRATED-IBBN-RC-008582-19"/>
    <s v="Service Fees"/>
    <s v="7 DAYS"/>
    <n v="108"/>
    <n v="0"/>
    <n v="0"/>
    <n v="87"/>
    <n v="21"/>
    <n v="108"/>
    <n v="5"/>
    <n v="0"/>
    <n v="257.89999389648437"/>
    <n v="0"/>
    <n v="0"/>
    <n v="3240"/>
    <n v="0"/>
    <n v="650"/>
    <n v="108.19999694824219"/>
    <n v="1374"/>
    <n v="0"/>
    <n v="0"/>
    <n v="0"/>
    <n v="63"/>
    <n v="0"/>
    <n v="0"/>
    <n v="0"/>
    <n v="43.977611541748047"/>
    <n v="0"/>
    <n v="0"/>
    <n v="0"/>
    <s v=""/>
    <n v="2100"/>
    <s v="IBND DEDUCTION, PREVIOUS PAYOUT EXTRA AMOUNT"/>
    <n v="5435.2001953125"/>
    <n v="2195.199951171875"/>
    <n v="5435.2001953125"/>
    <n v="5435.2001953125"/>
    <n v="3335.199951171875"/>
    <n v="259.2"/>
    <n v="3594.3999511718748"/>
    <n v="0"/>
    <n v="646.9919912109375"/>
    <n v="4241.391942382812"/>
  </r>
  <r>
    <n v="2025"/>
    <n v="6"/>
    <n v="1"/>
    <n v="794501"/>
    <s v="MONUJRAJKONWAR"/>
    <s v="TPL CEE"/>
    <s v="LSV"/>
    <s v="PUNE"/>
    <x v="0"/>
    <s v="INTEGRATED"/>
    <s v="ELERIDE MOBILITY SOLUTIONS PVT LTD"/>
    <s v="BIKE"/>
    <s v="INTEGRATED-IBBN-RC-008583-18"/>
    <s v="Service Fees"/>
    <s v="7 DAYS"/>
    <n v="2"/>
    <n v="0"/>
    <n v="0"/>
    <n v="0"/>
    <n v="2"/>
    <n v="2"/>
    <n v="1"/>
    <n v="0"/>
    <n v="5.8499999046325684"/>
    <n v="0"/>
    <n v="0"/>
    <n v="50"/>
    <n v="0"/>
    <n v="20"/>
    <n v="1.5"/>
    <n v="0"/>
    <n v="0"/>
    <n v="0"/>
    <n v="0"/>
    <n v="6"/>
    <n v="0"/>
    <n v="0"/>
    <n v="0"/>
    <n v="1.2391666173934937"/>
    <n v="0"/>
    <n v="0"/>
    <n v="0"/>
    <s v=""/>
    <n v="0"/>
    <s v=""/>
    <n v="77.5"/>
    <n v="27.5"/>
    <n v="77.5"/>
    <n v="77.5"/>
    <n v="77.5"/>
    <n v="4"/>
    <n v="81.5"/>
    <n v="0"/>
    <n v="14.67"/>
    <n v="96.17"/>
  </r>
  <r>
    <n v="2025"/>
    <n v="6"/>
    <n v="1"/>
    <n v="799654"/>
    <s v="SAURABHKANK"/>
    <s v="TPL CEE"/>
    <s v="LSV"/>
    <s v="PUNE"/>
    <x v="0"/>
    <s v="INTEGRATED"/>
    <s v="ELERIDE MOBILITY SOLUTIONS PVT LTD"/>
    <s v="BIKE"/>
    <s v="INTEGRATED-IBBN-RC-008583-18"/>
    <s v="Service Fees"/>
    <s v="7 DAYS"/>
    <n v="40"/>
    <n v="1"/>
    <n v="0"/>
    <n v="15"/>
    <n v="25"/>
    <n v="40"/>
    <n v="2"/>
    <n v="0"/>
    <n v="89.980003356933594"/>
    <n v="25"/>
    <n v="0"/>
    <n v="1025"/>
    <n v="30"/>
    <n v="230"/>
    <n v="16.700000762939453"/>
    <n v="17"/>
    <n v="0"/>
    <n v="0"/>
    <n v="0"/>
    <n v="78"/>
    <n v="0"/>
    <n v="0"/>
    <n v="0"/>
    <n v="15.110888481140137"/>
    <n v="0"/>
    <n v="0"/>
    <n v="0"/>
    <s v=""/>
    <n v="0"/>
    <s v=""/>
    <n v="1396.699951171875"/>
    <n v="371.70001220703125"/>
    <n v="1396.699951171875"/>
    <n v="1396.699951171875"/>
    <n v="1396.699951171875"/>
    <n v="82"/>
    <n v="1478.699951171875"/>
    <n v="0"/>
    <n v="266.16599121093748"/>
    <n v="1744.8659423828126"/>
  </r>
  <r>
    <n v="2025"/>
    <n v="6"/>
    <n v="1"/>
    <n v="793831"/>
    <s v="DAYANANDKALE"/>
    <s v="TPL CEE"/>
    <s v="NEV"/>
    <s v="PUNE"/>
    <x v="1"/>
    <s v="INTEGRATED"/>
    <s v="ELERIDE MOBILITY SOLUTIONS PVT LTD"/>
    <s v="BIKE"/>
    <s v="INTEGRATED-IBBN-RC-009659-10"/>
    <s v="Service Fees"/>
    <s v="7 DAYS"/>
    <n v="67"/>
    <n v="1"/>
    <n v="0"/>
    <n v="36"/>
    <n v="31"/>
    <n v="67"/>
    <n v="4"/>
    <n v="0"/>
    <n v="175.47000122070312"/>
    <n v="30"/>
    <n v="0"/>
    <n v="2040"/>
    <n v="15"/>
    <n v="140"/>
    <n v="101.19999694824219"/>
    <n v="622"/>
    <n v="0"/>
    <n v="0"/>
    <n v="0"/>
    <n v="96"/>
    <n v="0"/>
    <n v="0"/>
    <n v="0"/>
    <n v="28.570999145507813"/>
    <n v="0"/>
    <n v="0"/>
    <n v="0"/>
    <s v=""/>
    <n v="300"/>
    <s v="SADDLEBAG DAMAGED OR NOT SUBMITTED"/>
    <n v="3014.199951171875"/>
    <n v="974.20001220703125"/>
    <n v="3014.199951171875"/>
    <n v="3014.199951171875"/>
    <n v="2714.199951171875"/>
    <n v="163.20000000000002"/>
    <n v="2877.3999511718748"/>
    <n v="0"/>
    <n v="517.93199121093744"/>
    <n v="3395.3319423828125"/>
  </r>
  <r>
    <n v="2025"/>
    <n v="6"/>
    <n v="1"/>
    <n v="741275"/>
    <s v="NIKHIL RAJU GUPTELERIDE BREAK"/>
    <s v="TPL CEE"/>
    <s v="NEV"/>
    <s v="PUNE"/>
    <x v="2"/>
    <s v="INTEGRATED"/>
    <s v="ELERIDE MOBILITY SOLUTIONS PVT LTD"/>
    <s v="BIKE"/>
    <s v="INTEGRATED-IBBN-RC-009931-15"/>
    <s v="Service Fees"/>
    <s v="7 DAYS"/>
    <n v="183"/>
    <n v="3"/>
    <n v="0"/>
    <n v="123"/>
    <n v="60"/>
    <n v="183"/>
    <n v="7"/>
    <n v="0"/>
    <n v="581.72998046875"/>
    <n v="90"/>
    <n v="0"/>
    <n v="5580"/>
    <n v="150"/>
    <n v="3740"/>
    <n v="474.60000610351562"/>
    <n v="2711"/>
    <n v="0"/>
    <n v="0"/>
    <n v="0"/>
    <n v="180"/>
    <n v="0"/>
    <n v="500"/>
    <n v="0"/>
    <n v="62.088443756103516"/>
    <n v="0"/>
    <n v="0"/>
    <n v="0"/>
    <s v=""/>
    <n v="0"/>
    <s v=""/>
    <n v="13335.599609375"/>
    <n v="7755.60009765625"/>
    <n v="13335.599609375"/>
    <n v="13335.599609375"/>
    <n v="13335.599609375"/>
    <n v="446.40000000000003"/>
    <n v="13781.999609375"/>
    <n v="0"/>
    <n v="2480.7599296875001"/>
    <n v="16262.759539062499"/>
  </r>
  <r>
    <n v="2025"/>
    <n v="6"/>
    <n v="1"/>
    <n v="793343"/>
    <s v="AMANJAISWAL"/>
    <s v="TPL CEE"/>
    <s v="LSV"/>
    <s v="PUNE"/>
    <x v="2"/>
    <s v="INTEGRATED"/>
    <s v="ELERIDE MOBILITY SOLUTIONS PVT LTD"/>
    <s v="BIKE"/>
    <s v="INTEGRATED-IBBN-RC-009926-15"/>
    <s v="Service Fees"/>
    <s v="7 DAYS"/>
    <n v="155"/>
    <n v="1"/>
    <n v="0"/>
    <n v="104"/>
    <n v="51"/>
    <n v="155"/>
    <n v="7"/>
    <n v="0"/>
    <n v="487.60000610351562"/>
    <n v="25"/>
    <n v="0"/>
    <n v="3900"/>
    <n v="135"/>
    <n v="3140"/>
    <n v="419.45001220703125"/>
    <n v="2270"/>
    <n v="0"/>
    <n v="0"/>
    <n v="60"/>
    <n v="153"/>
    <n v="0"/>
    <n v="500"/>
    <n v="0"/>
    <n v="60.000278472900391"/>
    <n v="0"/>
    <n v="0"/>
    <n v="0"/>
    <s v=""/>
    <n v="79"/>
    <s v="IBND DEDUCTION"/>
    <n v="10577.4501953125"/>
    <n v="6677.4501953125"/>
    <n v="10577.4501953125"/>
    <n v="10577.4501953125"/>
    <n v="10498.4501953125"/>
    <n v="312"/>
    <n v="10810.4501953125"/>
    <n v="0"/>
    <n v="1945.8810351562499"/>
    <n v="12756.33123046875"/>
  </r>
  <r>
    <n v="2025"/>
    <n v="6"/>
    <n v="1"/>
    <n v="784299"/>
    <s v="IMRANSHAIKH"/>
    <s v="TPL CEE"/>
    <s v="NEV"/>
    <s v="PUNE"/>
    <x v="3"/>
    <s v="INTEGRATED"/>
    <s v="ELERIDE MOBILITY SOLUTIONS PVT LTD"/>
    <s v="BIKE"/>
    <s v="INTEGRATED-IBBN-RC-009932-15"/>
    <s v="Service Fees"/>
    <s v="7 DAYS"/>
    <n v="4"/>
    <n v="0"/>
    <n v="0"/>
    <n v="0"/>
    <n v="4"/>
    <n v="4"/>
    <n v="1"/>
    <n v="0"/>
    <n v="5.5300002098083496"/>
    <n v="0"/>
    <n v="0"/>
    <n v="120"/>
    <n v="0"/>
    <n v="30"/>
    <n v="0"/>
    <n v="0"/>
    <n v="0"/>
    <n v="0"/>
    <n v="0"/>
    <n v="12"/>
    <n v="0"/>
    <n v="0"/>
    <n v="0"/>
    <n v="1.0922777652740479"/>
    <n v="0"/>
    <n v="0"/>
    <n v="0"/>
    <s v=""/>
    <n v="2000"/>
    <s v="WRONG CALCULATION AT IMPLEMENTATION TIME"/>
    <n v="162"/>
    <n v="42"/>
    <n v="162"/>
    <n v="162"/>
    <n v="-1838"/>
    <n v="9.6"/>
    <n v="-1828.4"/>
    <n v="0"/>
    <n v="-329.11200000000002"/>
    <n v="-2157.5120000000002"/>
  </r>
  <r>
    <n v="2025"/>
    <n v="6"/>
    <n v="1"/>
    <n v="757911"/>
    <s v="ROHAN SUDHKAR CHAVANELRD  BREAK"/>
    <s v="TPL CEE"/>
    <s v="EV"/>
    <s v="PUNE"/>
    <x v="4"/>
    <s v="INTEGRATED"/>
    <s v="ELERIDE MOBILITY SOLUTIONS PVT LTD"/>
    <s v="BIKE"/>
    <s v="INTEGRATED-IBBN-RC-011702-6"/>
    <s v="Service Fees"/>
    <s v="7 DAYS"/>
    <n v="235"/>
    <n v="1"/>
    <n v="9"/>
    <n v="157"/>
    <n v="78"/>
    <n v="244"/>
    <n v="7"/>
    <n v="0"/>
    <n v="426.70001220703125"/>
    <n v="25"/>
    <n v="225"/>
    <n v="6125"/>
    <n v="155"/>
    <n v="1010"/>
    <n v="0"/>
    <n v="3660"/>
    <n v="0"/>
    <n v="0"/>
    <n v="80"/>
    <n v="234"/>
    <n v="0"/>
    <n v="800"/>
    <n v="0"/>
    <n v="62.766498565673828"/>
    <n v="0"/>
    <n v="0"/>
    <n v="0"/>
    <s v=""/>
    <n v="356.79998779296875"/>
    <s v="IBND DEDUCTION"/>
    <n v="12064"/>
    <n v="5939"/>
    <n v="12064"/>
    <n v="12064"/>
    <n v="11707.2001953125"/>
    <n v="490"/>
    <n v="12197.2001953125"/>
    <n v="0"/>
    <n v="2195.4960351562499"/>
    <n v="14392.696230468749"/>
  </r>
  <r>
    <n v="2025"/>
    <n v="6"/>
    <n v="1"/>
    <n v="763173"/>
    <s v="ADESH KUMAR RAWATELERIDE"/>
    <s v="TPL CEE"/>
    <s v="EV"/>
    <s v="PUNE"/>
    <x v="4"/>
    <s v="INTEGRATED"/>
    <s v="ELERIDE MOBILITY SOLUTIONS PVT LTD"/>
    <s v="BIKE"/>
    <s v="INTEGRATED-IBBN-RC-011702-6"/>
    <s v="Service Fees"/>
    <s v="7 DAYS"/>
    <n v="270"/>
    <n v="5"/>
    <n v="28"/>
    <n v="191"/>
    <n v="79"/>
    <n v="298"/>
    <n v="7"/>
    <n v="0"/>
    <n v="495.51998901367187"/>
    <n v="125"/>
    <n v="700"/>
    <n v="7575"/>
    <n v="20"/>
    <n v="6780"/>
    <n v="1.6499999761581421"/>
    <n v="4470"/>
    <n v="0"/>
    <n v="0"/>
    <n v="0"/>
    <n v="261"/>
    <n v="0"/>
    <n v="800"/>
    <n v="0"/>
    <n v="63"/>
    <n v="0"/>
    <n v="0"/>
    <n v="0"/>
    <s v=""/>
    <n v="0"/>
    <s v=""/>
    <n v="19907.650390625"/>
    <n v="12332.650390625"/>
    <n v="19907.650390625"/>
    <n v="19907.650390625"/>
    <n v="19907.650390625"/>
    <n v="606"/>
    <n v="20513.650390625"/>
    <n v="0"/>
    <n v="3692.4570703125"/>
    <n v="24206.107460937499"/>
  </r>
  <r>
    <n v="2025"/>
    <n v="6"/>
    <n v="1"/>
    <n v="780996"/>
    <s v="GAURAOJAISWAL"/>
    <s v="TPL CEE"/>
    <s v="EV"/>
    <s v="PUNE"/>
    <x v="5"/>
    <s v="INTEGRATED"/>
    <s v="ELERIDE MOBILITY SOLUTIONS PVT LTD"/>
    <s v="BIKE"/>
    <s v="INTEGRATED-IBBN-RC-013235-7"/>
    <s v="Service Fees"/>
    <s v="7 DAYS"/>
    <n v="65"/>
    <n v="3"/>
    <n v="0"/>
    <n v="63"/>
    <n v="2"/>
    <n v="65"/>
    <n v="5"/>
    <n v="0"/>
    <n v="171.44999694824219"/>
    <n v="75"/>
    <n v="0"/>
    <n v="1700"/>
    <n v="20"/>
    <n v="205"/>
    <n v="58.860000610351563"/>
    <n v="569"/>
    <n v="0"/>
    <n v="0"/>
    <n v="30"/>
    <n v="6"/>
    <n v="0"/>
    <n v="0"/>
    <n v="0"/>
    <n v="25.735889434814453"/>
    <n v="0"/>
    <n v="0"/>
    <n v="0"/>
    <s v=""/>
    <n v="0"/>
    <s v=""/>
    <n v="2588.860107421875"/>
    <n v="888.8599853515625"/>
    <n v="2588.860107421875"/>
    <n v="2588.860107421875"/>
    <n v="2588.860107421875"/>
    <n v="136"/>
    <n v="2724.860107421875"/>
    <n v="0"/>
    <n v="490.47481933593747"/>
    <n v="3215.3349267578124"/>
  </r>
  <r>
    <n v="2025"/>
    <n v="6"/>
    <n v="1"/>
    <n v="756144"/>
    <s v="SACHIN NAYASE7350987782"/>
    <s v="TPL CEE"/>
    <s v="NEV"/>
    <s v="PUNE"/>
    <x v="6"/>
    <s v="INTEGRATED"/>
    <s v="ELERIDE MOBILITY SOLUTIONS PVT LTD"/>
    <s v="BIKE"/>
    <s v="INTEGRATED-IBBN-RC-009587-14"/>
    <s v="Service Fees"/>
    <s v="7 DAYS"/>
    <n v="124"/>
    <n v="0"/>
    <n v="0"/>
    <n v="80"/>
    <n v="44"/>
    <n v="124"/>
    <n v="6"/>
    <n v="0"/>
    <n v="236.22000122070312"/>
    <n v="0"/>
    <n v="0"/>
    <n v="3720"/>
    <n v="80"/>
    <n v="195"/>
    <n v="53.599998474121094"/>
    <n v="1492"/>
    <n v="0"/>
    <n v="0"/>
    <n v="30"/>
    <n v="132"/>
    <n v="0"/>
    <n v="250"/>
    <n v="0"/>
    <n v="50.975276947021484"/>
    <n v="0"/>
    <n v="0"/>
    <n v="0"/>
    <s v=""/>
    <n v="20"/>
    <s v="IBND DEDUCTION"/>
    <n v="5952.60009765625"/>
    <n v="2232.60009765625"/>
    <n v="5952.60009765625"/>
    <n v="5952.60009765625"/>
    <n v="5932.60009765625"/>
    <n v="297.60000000000002"/>
    <n v="6230.2000976562504"/>
    <n v="0"/>
    <n v="1121.4360175781251"/>
    <n v="7351.6361152343752"/>
  </r>
  <r>
    <n v="2025"/>
    <n v="6"/>
    <n v="1"/>
    <n v="786490"/>
    <s v="SANTOSH NAYASE7517557492"/>
    <s v="TPL CEE"/>
    <s v="LSV"/>
    <s v="PUNE"/>
    <x v="6"/>
    <s v="INTEGRATED"/>
    <s v="ELERIDE MOBILITY SOLUTIONS PVT LTD"/>
    <s v="BIKE"/>
    <s v="INTEGRATED-IBBN-RC-009586-13"/>
    <s v="Service Fees"/>
    <s v="7 DAYS"/>
    <n v="149"/>
    <n v="1"/>
    <n v="0"/>
    <n v="95"/>
    <n v="54"/>
    <n v="149"/>
    <n v="7"/>
    <n v="0"/>
    <n v="295.10000610351562"/>
    <n v="25"/>
    <n v="0"/>
    <n v="3750"/>
    <n v="90"/>
    <n v="255"/>
    <n v="67.300003051757813"/>
    <n v="1788"/>
    <n v="0"/>
    <n v="0"/>
    <n v="0"/>
    <n v="162"/>
    <n v="0"/>
    <n v="250"/>
    <n v="0"/>
    <n v="60.845500946044922"/>
    <n v="0"/>
    <n v="0"/>
    <n v="0"/>
    <s v=""/>
    <n v="30"/>
    <s v="IBND DEDUCTION"/>
    <n v="6362.2998046875"/>
    <n v="2612.300048828125"/>
    <n v="6362.2998046875"/>
    <n v="6362.2998046875"/>
    <n v="6332.2998046875"/>
    <n v="300"/>
    <n v="6632.2998046875"/>
    <n v="0"/>
    <n v="1193.81396484375"/>
    <n v="7826.11376953125"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E12" firstHeaderRow="0" firstDataRow="1" firstDataCol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elivered_orders" fld="15" baseField="8" baseItem="0"/>
    <dataField name="Sum of total_with_arrears_and_deductions" fld="49" baseField="8" baseItem="0"/>
    <dataField name="Sum of management_fee" fld="50" baseField="8" baseItem="0"/>
    <dataField name="Sum of total_with_management_fee" fld="51" baseField="8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4"/>
  <sheetViews>
    <sheetView topLeftCell="A3" workbookViewId="0">
      <selection activeCell="A18" sqref="A18"/>
    </sheetView>
  </sheetViews>
  <sheetFormatPr defaultRowHeight="14.25"/>
  <cols>
    <col min="1" max="1" width="27" bestFit="1" customWidth="1"/>
    <col min="2" max="2" width="23.25" customWidth="1"/>
    <col min="3" max="3" width="39.375" customWidth="1"/>
    <col min="4" max="4" width="23" customWidth="1"/>
    <col min="5" max="5" width="32.75" customWidth="1"/>
  </cols>
  <sheetData>
    <row r="3" spans="1:5">
      <c r="A3" s="30" t="s">
        <v>161</v>
      </c>
      <c r="B3" t="s">
        <v>164</v>
      </c>
      <c r="C3" t="s">
        <v>165</v>
      </c>
      <c r="D3" t="s">
        <v>166</v>
      </c>
      <c r="E3" t="s">
        <v>167</v>
      </c>
    </row>
    <row r="4" spans="1:5">
      <c r="A4" s="31" t="s">
        <v>59</v>
      </c>
      <c r="B4" s="32">
        <v>381</v>
      </c>
      <c r="C4" s="32">
        <v>13038.0498046875</v>
      </c>
      <c r="D4" s="32">
        <v>809.2</v>
      </c>
      <c r="E4" s="32">
        <v>13847.249804687501</v>
      </c>
    </row>
    <row r="5" spans="1:5">
      <c r="A5" s="31" t="s">
        <v>78</v>
      </c>
      <c r="B5" s="32">
        <v>67</v>
      </c>
      <c r="C5" s="32">
        <v>2714.199951171875</v>
      </c>
      <c r="D5" s="32">
        <v>163.20000000000002</v>
      </c>
      <c r="E5" s="32">
        <v>2877.3999511718748</v>
      </c>
    </row>
    <row r="6" spans="1:5">
      <c r="A6" s="31" t="s">
        <v>82</v>
      </c>
      <c r="B6" s="32">
        <v>338</v>
      </c>
      <c r="C6" s="32">
        <v>23834.0498046875</v>
      </c>
      <c r="D6" s="32">
        <v>758.40000000000009</v>
      </c>
      <c r="E6" s="32">
        <v>24592.449804687501</v>
      </c>
    </row>
    <row r="7" spans="1:5">
      <c r="A7" s="31" t="s">
        <v>87</v>
      </c>
      <c r="B7" s="32">
        <v>4</v>
      </c>
      <c r="C7" s="32">
        <v>-1838</v>
      </c>
      <c r="D7" s="32">
        <v>9.6</v>
      </c>
      <c r="E7" s="32">
        <v>-1828.4</v>
      </c>
    </row>
    <row r="8" spans="1:5">
      <c r="A8" s="31" t="s">
        <v>91</v>
      </c>
      <c r="B8" s="32">
        <v>505</v>
      </c>
      <c r="C8" s="32">
        <v>31614.8505859375</v>
      </c>
      <c r="D8" s="32">
        <v>1096</v>
      </c>
      <c r="E8" s="32">
        <v>32710.8505859375</v>
      </c>
    </row>
    <row r="9" spans="1:5">
      <c r="A9" s="31" t="s">
        <v>95</v>
      </c>
      <c r="B9" s="32">
        <v>65</v>
      </c>
      <c r="C9" s="32">
        <v>2588.860107421875</v>
      </c>
      <c r="D9" s="32">
        <v>136</v>
      </c>
      <c r="E9" s="32">
        <v>2724.860107421875</v>
      </c>
    </row>
    <row r="10" spans="1:5">
      <c r="A10" s="31" t="s">
        <v>98</v>
      </c>
      <c r="B10" s="32">
        <v>273</v>
      </c>
      <c r="C10" s="32">
        <v>12264.89990234375</v>
      </c>
      <c r="D10" s="32">
        <v>597.6</v>
      </c>
      <c r="E10" s="32">
        <v>12862.49990234375</v>
      </c>
    </row>
    <row r="11" spans="1:5">
      <c r="A11" s="31" t="s">
        <v>162</v>
      </c>
      <c r="B11" s="32"/>
      <c r="C11" s="32"/>
      <c r="D11" s="32"/>
      <c r="E11" s="32"/>
    </row>
    <row r="12" spans="1:5">
      <c r="A12" s="31" t="s">
        <v>163</v>
      </c>
      <c r="B12" s="32">
        <v>1633</v>
      </c>
      <c r="C12" s="32">
        <v>84216.91015625</v>
      </c>
      <c r="D12" s="32">
        <v>3570</v>
      </c>
      <c r="E12" s="32">
        <v>87786.91015625</v>
      </c>
    </row>
    <row r="16" spans="1:5">
      <c r="A16" t="s">
        <v>161</v>
      </c>
      <c r="B16" t="s">
        <v>164</v>
      </c>
      <c r="C16" t="s">
        <v>165</v>
      </c>
      <c r="D16" t="s">
        <v>166</v>
      </c>
      <c r="E16" t="s">
        <v>167</v>
      </c>
    </row>
    <row r="17" spans="1:9" ht="15">
      <c r="A17" t="s">
        <v>59</v>
      </c>
      <c r="B17" s="33">
        <v>381</v>
      </c>
      <c r="C17" s="33">
        <v>13038.0498046875</v>
      </c>
      <c r="D17" s="33">
        <v>809.2</v>
      </c>
      <c r="E17" s="33">
        <v>13847.249804687501</v>
      </c>
      <c r="G17" s="34">
        <v>13038.0498046875</v>
      </c>
      <c r="H17" s="34"/>
      <c r="I17" s="34"/>
    </row>
    <row r="18" spans="1:9" ht="15">
      <c r="A18" t="s">
        <v>78</v>
      </c>
      <c r="B18" s="33">
        <v>67</v>
      </c>
      <c r="C18" s="33">
        <v>2714.199951171875</v>
      </c>
      <c r="D18" s="33">
        <v>163.20000000000002</v>
      </c>
      <c r="E18" s="33">
        <v>2877.3999511718748</v>
      </c>
      <c r="G18" s="34">
        <v>2714.199951171875</v>
      </c>
      <c r="H18" s="34"/>
      <c r="I18" s="34"/>
    </row>
    <row r="19" spans="1:9" ht="15">
      <c r="A19" t="s">
        <v>82</v>
      </c>
      <c r="B19" s="33">
        <v>338</v>
      </c>
      <c r="C19" s="33">
        <v>23834.0498046875</v>
      </c>
      <c r="D19" s="33">
        <v>758.40000000000009</v>
      </c>
      <c r="E19" s="33">
        <v>24592.449804687501</v>
      </c>
      <c r="G19" s="34">
        <v>23834.0498046875</v>
      </c>
      <c r="H19" s="34"/>
      <c r="I19" s="34"/>
    </row>
    <row r="20" spans="1:9" ht="15">
      <c r="A20" t="s">
        <v>91</v>
      </c>
      <c r="B20" s="33">
        <v>505</v>
      </c>
      <c r="C20" s="33">
        <v>31614.8505859375</v>
      </c>
      <c r="D20" s="33">
        <v>1096</v>
      </c>
      <c r="E20" s="33">
        <v>32710.8505859375</v>
      </c>
      <c r="G20" s="34">
        <v>31614.8505859375</v>
      </c>
      <c r="H20" s="34"/>
      <c r="I20" s="34"/>
    </row>
    <row r="21" spans="1:9" ht="15">
      <c r="A21" t="s">
        <v>95</v>
      </c>
      <c r="B21" s="33">
        <v>65</v>
      </c>
      <c r="C21" s="33">
        <v>2588.860107421875</v>
      </c>
      <c r="D21" s="33">
        <v>136</v>
      </c>
      <c r="E21" s="33">
        <v>2724.860107421875</v>
      </c>
      <c r="G21" s="34">
        <v>2588.860107421875</v>
      </c>
      <c r="H21" s="34"/>
      <c r="I21" s="34"/>
    </row>
    <row r="22" spans="1:9" ht="15">
      <c r="A22" t="s">
        <v>98</v>
      </c>
      <c r="B22" s="33">
        <v>273</v>
      </c>
      <c r="C22" s="33">
        <v>12264.89990234375</v>
      </c>
      <c r="D22" s="33">
        <v>597.6</v>
      </c>
      <c r="E22" s="33">
        <v>12862.49990234375</v>
      </c>
      <c r="G22" s="34">
        <v>12264.89990234375</v>
      </c>
      <c r="H22" s="34"/>
      <c r="I22" s="34"/>
    </row>
    <row r="23" spans="1:9">
      <c r="A23" s="31" t="s">
        <v>87</v>
      </c>
      <c r="B23" s="32">
        <v>4</v>
      </c>
      <c r="C23" s="32">
        <v>-1838</v>
      </c>
      <c r="D23" s="32">
        <v>9.6</v>
      </c>
      <c r="E23" s="32">
        <v>-1828.4</v>
      </c>
    </row>
    <row r="24" spans="1:9" ht="15">
      <c r="A24" t="s">
        <v>163</v>
      </c>
      <c r="B24" s="33">
        <f>SUM(B17:B23)</f>
        <v>1633</v>
      </c>
      <c r="C24" s="33">
        <f t="shared" ref="C24:E24" si="0">SUM(C17:C23)</f>
        <v>84216.91015625</v>
      </c>
      <c r="D24" s="33">
        <f t="shared" si="0"/>
        <v>3570</v>
      </c>
      <c r="E24" s="33">
        <f t="shared" si="0"/>
        <v>87786.910156250015</v>
      </c>
    </row>
  </sheetData>
  <mergeCells count="6">
    <mergeCell ref="G22:I22"/>
    <mergeCell ref="G17:I17"/>
    <mergeCell ref="G18:I18"/>
    <mergeCell ref="G19:I19"/>
    <mergeCell ref="G20:I20"/>
    <mergeCell ref="G21:I21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6"/>
  <sheetViews>
    <sheetView topLeftCell="B1" workbookViewId="0">
      <selection activeCell="B16" sqref="B16"/>
    </sheetView>
  </sheetViews>
  <sheetFormatPr defaultRowHeight="14.25"/>
  <cols>
    <col min="5" max="5" width="37.5" bestFit="1" customWidth="1"/>
    <col min="9" max="9" width="27" bestFit="1" customWidth="1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2025</v>
      </c>
      <c r="B2" s="2">
        <v>6</v>
      </c>
      <c r="C2" s="2">
        <v>1</v>
      </c>
      <c r="D2" s="2">
        <v>735193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" t="s">
        <v>65</v>
      </c>
      <c r="P2" s="2">
        <v>46</v>
      </c>
      <c r="Q2" s="2">
        <v>0</v>
      </c>
      <c r="R2" s="2">
        <v>0</v>
      </c>
      <c r="S2" s="2">
        <v>38</v>
      </c>
      <c r="T2" s="2">
        <v>8</v>
      </c>
      <c r="U2" s="2">
        <v>46</v>
      </c>
      <c r="V2" s="2">
        <v>4</v>
      </c>
      <c r="W2" s="2">
        <v>0</v>
      </c>
      <c r="X2" s="3">
        <v>103.44000244140625</v>
      </c>
      <c r="Y2" s="2">
        <v>0</v>
      </c>
      <c r="Z2" s="2">
        <v>0</v>
      </c>
      <c r="AA2" s="2">
        <v>1150</v>
      </c>
      <c r="AB2" s="2">
        <v>0</v>
      </c>
      <c r="AC2" s="2">
        <v>280</v>
      </c>
      <c r="AD2" s="3">
        <v>28.049999237060547</v>
      </c>
      <c r="AE2" s="2">
        <v>17</v>
      </c>
      <c r="AF2" s="2">
        <v>0</v>
      </c>
      <c r="AG2" s="2">
        <v>0</v>
      </c>
      <c r="AH2" s="2">
        <v>0</v>
      </c>
      <c r="AI2" s="2">
        <v>24</v>
      </c>
      <c r="AJ2" s="2">
        <v>0</v>
      </c>
      <c r="AK2" s="2">
        <v>0</v>
      </c>
      <c r="AL2" s="2">
        <v>0</v>
      </c>
      <c r="AM2" s="3">
        <v>17.850421905517578</v>
      </c>
      <c r="AN2" s="2">
        <v>0</v>
      </c>
      <c r="AO2" s="2">
        <v>0</v>
      </c>
      <c r="AP2" s="2">
        <v>0</v>
      </c>
      <c r="AQ2" s="1" t="s">
        <v>66</v>
      </c>
      <c r="AR2" s="2">
        <v>0</v>
      </c>
      <c r="AS2" s="1" t="s">
        <v>66</v>
      </c>
      <c r="AT2" s="3">
        <v>1499.050048828125</v>
      </c>
      <c r="AU2" s="3">
        <v>349.04998779296875</v>
      </c>
      <c r="AV2" s="3">
        <v>1499.050048828125</v>
      </c>
      <c r="AW2" s="3">
        <v>1499.050048828125</v>
      </c>
      <c r="AX2" s="3">
        <v>1499.050048828125</v>
      </c>
      <c r="AY2" s="3">
        <v>92</v>
      </c>
      <c r="AZ2" s="3">
        <v>1591.050048828125</v>
      </c>
      <c r="BA2" s="2">
        <v>0</v>
      </c>
      <c r="BB2" s="3">
        <v>286.38900878906247</v>
      </c>
      <c r="BC2" s="3">
        <v>1877.4390576171875</v>
      </c>
    </row>
    <row r="3" spans="1:55">
      <c r="A3" s="2">
        <v>2025</v>
      </c>
      <c r="B3" s="2">
        <v>6</v>
      </c>
      <c r="C3" s="2">
        <v>1</v>
      </c>
      <c r="D3" s="2">
        <v>744645</v>
      </c>
      <c r="E3" s="1" t="s">
        <v>67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61</v>
      </c>
      <c r="L3" s="1" t="s">
        <v>62</v>
      </c>
      <c r="M3" s="1" t="s">
        <v>63</v>
      </c>
      <c r="N3" s="1" t="s">
        <v>64</v>
      </c>
      <c r="O3" s="1" t="s">
        <v>65</v>
      </c>
      <c r="P3" s="2">
        <v>52</v>
      </c>
      <c r="Q3" s="2">
        <v>1</v>
      </c>
      <c r="R3" s="2">
        <v>0</v>
      </c>
      <c r="S3" s="2">
        <v>52</v>
      </c>
      <c r="T3" s="2">
        <v>0</v>
      </c>
      <c r="U3" s="2">
        <v>52</v>
      </c>
      <c r="V3" s="2">
        <v>4</v>
      </c>
      <c r="W3" s="2">
        <v>0</v>
      </c>
      <c r="X3" s="3">
        <v>134.75999450683594</v>
      </c>
      <c r="Y3" s="2">
        <v>25</v>
      </c>
      <c r="Z3" s="2">
        <v>0</v>
      </c>
      <c r="AA3" s="2">
        <v>1325</v>
      </c>
      <c r="AB3" s="2">
        <v>20</v>
      </c>
      <c r="AC3" s="2">
        <v>190</v>
      </c>
      <c r="AD3" s="3">
        <v>47.200000762939453</v>
      </c>
      <c r="AE3" s="2">
        <v>29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3">
        <v>23.540777206420898</v>
      </c>
      <c r="AN3" s="2">
        <v>0</v>
      </c>
      <c r="AO3" s="2">
        <v>0</v>
      </c>
      <c r="AP3" s="2">
        <v>0</v>
      </c>
      <c r="AQ3" s="1" t="s">
        <v>66</v>
      </c>
      <c r="AR3" s="2">
        <v>0</v>
      </c>
      <c r="AS3" s="1" t="s">
        <v>66</v>
      </c>
      <c r="AT3" s="3">
        <v>1611.199951171875</v>
      </c>
      <c r="AU3" s="3">
        <v>286.20001220703125</v>
      </c>
      <c r="AV3" s="3">
        <v>1611.199951171875</v>
      </c>
      <c r="AW3" s="3">
        <v>1611.199951171875</v>
      </c>
      <c r="AX3" s="3">
        <v>1611.199951171875</v>
      </c>
      <c r="AY3" s="3">
        <v>106</v>
      </c>
      <c r="AZ3" s="3">
        <v>1717.199951171875</v>
      </c>
      <c r="BA3" s="2">
        <v>0</v>
      </c>
      <c r="BB3" s="3">
        <v>309.09599121093748</v>
      </c>
      <c r="BC3" s="3">
        <v>2026.2959423828124</v>
      </c>
    </row>
    <row r="4" spans="1:55">
      <c r="A4" s="2">
        <v>2025</v>
      </c>
      <c r="B4" s="2">
        <v>6</v>
      </c>
      <c r="C4" s="2">
        <v>1</v>
      </c>
      <c r="D4" s="2">
        <v>753406</v>
      </c>
      <c r="E4" s="1" t="s">
        <v>68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64</v>
      </c>
      <c r="O4" s="1" t="s">
        <v>65</v>
      </c>
      <c r="P4" s="2">
        <v>133</v>
      </c>
      <c r="Q4" s="2">
        <v>0</v>
      </c>
      <c r="R4" s="2">
        <v>0</v>
      </c>
      <c r="S4" s="2">
        <v>112</v>
      </c>
      <c r="T4" s="2">
        <v>21</v>
      </c>
      <c r="U4" s="2">
        <v>133</v>
      </c>
      <c r="V4" s="2">
        <v>7</v>
      </c>
      <c r="W4" s="2">
        <v>0</v>
      </c>
      <c r="X4" s="3">
        <v>340.489990234375</v>
      </c>
      <c r="Y4" s="2">
        <v>0</v>
      </c>
      <c r="Z4" s="2">
        <v>0</v>
      </c>
      <c r="AA4" s="2">
        <v>3325</v>
      </c>
      <c r="AB4" s="2">
        <v>50</v>
      </c>
      <c r="AC4" s="2">
        <v>700</v>
      </c>
      <c r="AD4" s="3">
        <v>121.40000152587891</v>
      </c>
      <c r="AE4" s="2">
        <v>69</v>
      </c>
      <c r="AF4" s="2">
        <v>0</v>
      </c>
      <c r="AG4" s="2">
        <v>0</v>
      </c>
      <c r="AH4" s="2">
        <v>0</v>
      </c>
      <c r="AI4" s="2">
        <v>63</v>
      </c>
      <c r="AJ4" s="2">
        <v>0</v>
      </c>
      <c r="AK4" s="2">
        <v>250</v>
      </c>
      <c r="AL4" s="2">
        <v>0</v>
      </c>
      <c r="AM4" s="3">
        <v>43.944721221923828</v>
      </c>
      <c r="AN4" s="2">
        <v>600</v>
      </c>
      <c r="AO4" s="2">
        <v>2</v>
      </c>
      <c r="AP4" s="2">
        <v>0</v>
      </c>
      <c r="AQ4" s="1" t="s">
        <v>66</v>
      </c>
      <c r="AR4" s="2">
        <v>60</v>
      </c>
      <c r="AS4" s="1" t="s">
        <v>69</v>
      </c>
      <c r="AT4" s="3">
        <v>4578.39990234375</v>
      </c>
      <c r="AU4" s="3">
        <v>1253.4000244140625</v>
      </c>
      <c r="AV4" s="3">
        <v>5178.39990234375</v>
      </c>
      <c r="AW4" s="3">
        <v>5178.39990234375</v>
      </c>
      <c r="AX4" s="3">
        <v>5118.39990234375</v>
      </c>
      <c r="AY4" s="3">
        <v>266</v>
      </c>
      <c r="AZ4" s="3">
        <v>5384.39990234375</v>
      </c>
      <c r="BA4" s="2">
        <v>0</v>
      </c>
      <c r="BB4" s="3">
        <v>969.19198242187497</v>
      </c>
      <c r="BC4" s="3">
        <v>6353.5918847656249</v>
      </c>
    </row>
    <row r="5" spans="1:55">
      <c r="A5" s="2">
        <v>2025</v>
      </c>
      <c r="B5" s="2">
        <v>6</v>
      </c>
      <c r="C5" s="2">
        <v>1</v>
      </c>
      <c r="D5" s="2">
        <v>784832</v>
      </c>
      <c r="E5" s="1" t="s">
        <v>70</v>
      </c>
      <c r="F5" s="1" t="s">
        <v>56</v>
      </c>
      <c r="G5" s="1" t="s">
        <v>71</v>
      </c>
      <c r="H5" s="1" t="s">
        <v>58</v>
      </c>
      <c r="I5" s="1" t="s">
        <v>59</v>
      </c>
      <c r="J5" s="1" t="s">
        <v>60</v>
      </c>
      <c r="K5" s="1" t="s">
        <v>61</v>
      </c>
      <c r="L5" s="1" t="s">
        <v>62</v>
      </c>
      <c r="M5" s="1" t="s">
        <v>72</v>
      </c>
      <c r="N5" s="1" t="s">
        <v>64</v>
      </c>
      <c r="O5" s="1" t="s">
        <v>65</v>
      </c>
      <c r="P5" s="2">
        <v>108</v>
      </c>
      <c r="Q5" s="2">
        <v>0</v>
      </c>
      <c r="R5" s="2">
        <v>0</v>
      </c>
      <c r="S5" s="2">
        <v>87</v>
      </c>
      <c r="T5" s="2">
        <v>21</v>
      </c>
      <c r="U5" s="2">
        <v>108</v>
      </c>
      <c r="V5" s="2">
        <v>5</v>
      </c>
      <c r="W5" s="2">
        <v>0</v>
      </c>
      <c r="X5" s="3">
        <v>257.89999389648437</v>
      </c>
      <c r="Y5" s="2">
        <v>0</v>
      </c>
      <c r="Z5" s="2">
        <v>0</v>
      </c>
      <c r="AA5" s="2">
        <v>3240</v>
      </c>
      <c r="AB5" s="2">
        <v>0</v>
      </c>
      <c r="AC5" s="2">
        <v>650</v>
      </c>
      <c r="AD5" s="3">
        <v>108.19999694824219</v>
      </c>
      <c r="AE5" s="2">
        <v>1374</v>
      </c>
      <c r="AF5" s="2">
        <v>0</v>
      </c>
      <c r="AG5" s="2">
        <v>0</v>
      </c>
      <c r="AH5" s="2">
        <v>0</v>
      </c>
      <c r="AI5" s="2">
        <v>63</v>
      </c>
      <c r="AJ5" s="2">
        <v>0</v>
      </c>
      <c r="AK5" s="2">
        <v>0</v>
      </c>
      <c r="AL5" s="2">
        <v>0</v>
      </c>
      <c r="AM5" s="3">
        <v>43.977611541748047</v>
      </c>
      <c r="AN5" s="2">
        <v>0</v>
      </c>
      <c r="AO5" s="2">
        <v>0</v>
      </c>
      <c r="AP5" s="2">
        <v>0</v>
      </c>
      <c r="AQ5" s="1" t="s">
        <v>66</v>
      </c>
      <c r="AR5" s="2">
        <v>2100</v>
      </c>
      <c r="AS5" s="1" t="s">
        <v>73</v>
      </c>
      <c r="AT5" s="3">
        <v>5435.2001953125</v>
      </c>
      <c r="AU5" s="3">
        <v>2195.199951171875</v>
      </c>
      <c r="AV5" s="3">
        <v>5435.2001953125</v>
      </c>
      <c r="AW5" s="3">
        <v>5435.2001953125</v>
      </c>
      <c r="AX5" s="3">
        <v>3335.199951171875</v>
      </c>
      <c r="AY5" s="3">
        <v>259.2</v>
      </c>
      <c r="AZ5" s="3">
        <v>3594.3999511718748</v>
      </c>
      <c r="BA5" s="2">
        <v>0</v>
      </c>
      <c r="BB5" s="3">
        <v>646.9919912109375</v>
      </c>
      <c r="BC5" s="3">
        <v>4241.391942382812</v>
      </c>
    </row>
    <row r="6" spans="1:55">
      <c r="A6" s="2">
        <v>2025</v>
      </c>
      <c r="B6" s="2">
        <v>6</v>
      </c>
      <c r="C6" s="2">
        <v>1</v>
      </c>
      <c r="D6" s="2">
        <v>794501</v>
      </c>
      <c r="E6" s="1" t="s">
        <v>74</v>
      </c>
      <c r="F6" s="1" t="s">
        <v>56</v>
      </c>
      <c r="G6" s="1" t="s">
        <v>75</v>
      </c>
      <c r="H6" s="1" t="s">
        <v>58</v>
      </c>
      <c r="I6" s="1" t="s">
        <v>59</v>
      </c>
      <c r="J6" s="1" t="s">
        <v>60</v>
      </c>
      <c r="K6" s="1" t="s">
        <v>61</v>
      </c>
      <c r="L6" s="1" t="s">
        <v>62</v>
      </c>
      <c r="M6" s="1" t="s">
        <v>63</v>
      </c>
      <c r="N6" s="1" t="s">
        <v>64</v>
      </c>
      <c r="O6" s="1" t="s">
        <v>65</v>
      </c>
      <c r="P6" s="2">
        <v>2</v>
      </c>
      <c r="Q6" s="2">
        <v>0</v>
      </c>
      <c r="R6" s="2">
        <v>0</v>
      </c>
      <c r="S6" s="2">
        <v>0</v>
      </c>
      <c r="T6" s="2">
        <v>2</v>
      </c>
      <c r="U6" s="2">
        <v>2</v>
      </c>
      <c r="V6" s="2">
        <v>1</v>
      </c>
      <c r="W6" s="2">
        <v>0</v>
      </c>
      <c r="X6" s="3">
        <v>5.8499999046325684</v>
      </c>
      <c r="Y6" s="2">
        <v>0</v>
      </c>
      <c r="Z6" s="2">
        <v>0</v>
      </c>
      <c r="AA6" s="2">
        <v>50</v>
      </c>
      <c r="AB6" s="2">
        <v>0</v>
      </c>
      <c r="AC6" s="2">
        <v>20</v>
      </c>
      <c r="AD6" s="3">
        <v>1.5</v>
      </c>
      <c r="AE6" s="2">
        <v>0</v>
      </c>
      <c r="AF6" s="2">
        <v>0</v>
      </c>
      <c r="AG6" s="2">
        <v>0</v>
      </c>
      <c r="AH6" s="2">
        <v>0</v>
      </c>
      <c r="AI6" s="2">
        <v>6</v>
      </c>
      <c r="AJ6" s="2">
        <v>0</v>
      </c>
      <c r="AK6" s="2">
        <v>0</v>
      </c>
      <c r="AL6" s="2">
        <v>0</v>
      </c>
      <c r="AM6" s="3">
        <v>1.2391666173934937</v>
      </c>
      <c r="AN6" s="2">
        <v>0</v>
      </c>
      <c r="AO6" s="2">
        <v>0</v>
      </c>
      <c r="AP6" s="2">
        <v>0</v>
      </c>
      <c r="AQ6" s="1" t="s">
        <v>66</v>
      </c>
      <c r="AR6" s="2">
        <v>0</v>
      </c>
      <c r="AS6" s="1" t="s">
        <v>66</v>
      </c>
      <c r="AT6" s="3">
        <v>77.5</v>
      </c>
      <c r="AU6" s="3">
        <v>27.5</v>
      </c>
      <c r="AV6" s="3">
        <v>77.5</v>
      </c>
      <c r="AW6" s="3">
        <v>77.5</v>
      </c>
      <c r="AX6" s="3">
        <v>77.5</v>
      </c>
      <c r="AY6" s="3">
        <v>4</v>
      </c>
      <c r="AZ6" s="3">
        <v>81.5</v>
      </c>
      <c r="BA6" s="2">
        <v>0</v>
      </c>
      <c r="BB6" s="3">
        <v>14.67</v>
      </c>
      <c r="BC6" s="3">
        <v>96.17</v>
      </c>
    </row>
    <row r="7" spans="1:55">
      <c r="A7" s="2">
        <v>2025</v>
      </c>
      <c r="B7" s="2">
        <v>6</v>
      </c>
      <c r="C7" s="2">
        <v>1</v>
      </c>
      <c r="D7" s="2">
        <v>799654</v>
      </c>
      <c r="E7" s="1" t="s">
        <v>76</v>
      </c>
      <c r="F7" s="1" t="s">
        <v>56</v>
      </c>
      <c r="G7" s="1" t="s">
        <v>75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  <c r="O7" s="1" t="s">
        <v>65</v>
      </c>
      <c r="P7" s="2">
        <v>40</v>
      </c>
      <c r="Q7" s="2">
        <v>1</v>
      </c>
      <c r="R7" s="2">
        <v>0</v>
      </c>
      <c r="S7" s="2">
        <v>15</v>
      </c>
      <c r="T7" s="2">
        <v>25</v>
      </c>
      <c r="U7" s="2">
        <v>40</v>
      </c>
      <c r="V7" s="2">
        <v>2</v>
      </c>
      <c r="W7" s="2">
        <v>0</v>
      </c>
      <c r="X7" s="3">
        <v>89.980003356933594</v>
      </c>
      <c r="Y7" s="2">
        <v>25</v>
      </c>
      <c r="Z7" s="2">
        <v>0</v>
      </c>
      <c r="AA7" s="2">
        <v>1025</v>
      </c>
      <c r="AB7" s="2">
        <v>30</v>
      </c>
      <c r="AC7" s="2">
        <v>230</v>
      </c>
      <c r="AD7" s="3">
        <v>16.700000762939453</v>
      </c>
      <c r="AE7" s="2">
        <v>17</v>
      </c>
      <c r="AF7" s="2">
        <v>0</v>
      </c>
      <c r="AG7" s="2">
        <v>0</v>
      </c>
      <c r="AH7" s="2">
        <v>0</v>
      </c>
      <c r="AI7" s="2">
        <v>78</v>
      </c>
      <c r="AJ7" s="2">
        <v>0</v>
      </c>
      <c r="AK7" s="2">
        <v>0</v>
      </c>
      <c r="AL7" s="2">
        <v>0</v>
      </c>
      <c r="AM7" s="3">
        <v>15.110888481140137</v>
      </c>
      <c r="AN7" s="2">
        <v>0</v>
      </c>
      <c r="AO7" s="2">
        <v>0</v>
      </c>
      <c r="AP7" s="2">
        <v>0</v>
      </c>
      <c r="AQ7" s="1" t="s">
        <v>66</v>
      </c>
      <c r="AR7" s="2">
        <v>0</v>
      </c>
      <c r="AS7" s="1" t="s">
        <v>66</v>
      </c>
      <c r="AT7" s="3">
        <v>1396.699951171875</v>
      </c>
      <c r="AU7" s="3">
        <v>371.70001220703125</v>
      </c>
      <c r="AV7" s="3">
        <v>1396.699951171875</v>
      </c>
      <c r="AW7" s="3">
        <v>1396.699951171875</v>
      </c>
      <c r="AX7" s="3">
        <v>1396.699951171875</v>
      </c>
      <c r="AY7" s="3">
        <v>82</v>
      </c>
      <c r="AZ7" s="3">
        <v>1478.699951171875</v>
      </c>
      <c r="BA7" s="2">
        <v>0</v>
      </c>
      <c r="BB7" s="3">
        <v>266.16599121093748</v>
      </c>
      <c r="BC7" s="3">
        <v>1744.8659423828126</v>
      </c>
    </row>
    <row r="8" spans="1:55">
      <c r="A8" s="2">
        <v>2025</v>
      </c>
      <c r="B8" s="2">
        <v>6</v>
      </c>
      <c r="C8" s="2">
        <v>1</v>
      </c>
      <c r="D8" s="2">
        <v>793831</v>
      </c>
      <c r="E8" s="1" t="s">
        <v>77</v>
      </c>
      <c r="F8" s="1" t="s">
        <v>56</v>
      </c>
      <c r="G8" s="1" t="s">
        <v>71</v>
      </c>
      <c r="H8" s="1" t="s">
        <v>58</v>
      </c>
      <c r="I8" s="1" t="s">
        <v>78</v>
      </c>
      <c r="J8" s="1" t="s">
        <v>60</v>
      </c>
      <c r="K8" s="1" t="s">
        <v>61</v>
      </c>
      <c r="L8" s="1" t="s">
        <v>62</v>
      </c>
      <c r="M8" s="1" t="s">
        <v>79</v>
      </c>
      <c r="N8" s="1" t="s">
        <v>64</v>
      </c>
      <c r="O8" s="1" t="s">
        <v>65</v>
      </c>
      <c r="P8" s="2">
        <v>67</v>
      </c>
      <c r="Q8" s="2">
        <v>1</v>
      </c>
      <c r="R8" s="2">
        <v>0</v>
      </c>
      <c r="S8" s="2">
        <v>36</v>
      </c>
      <c r="T8" s="2">
        <v>31</v>
      </c>
      <c r="U8" s="2">
        <v>67</v>
      </c>
      <c r="V8" s="2">
        <v>4</v>
      </c>
      <c r="W8" s="2">
        <v>0</v>
      </c>
      <c r="X8" s="3">
        <v>175.47000122070312</v>
      </c>
      <c r="Y8" s="2">
        <v>30</v>
      </c>
      <c r="Z8" s="2">
        <v>0</v>
      </c>
      <c r="AA8" s="2">
        <v>2040</v>
      </c>
      <c r="AB8" s="2">
        <v>15</v>
      </c>
      <c r="AC8" s="2">
        <v>140</v>
      </c>
      <c r="AD8" s="3">
        <v>101.19999694824219</v>
      </c>
      <c r="AE8" s="2">
        <v>622</v>
      </c>
      <c r="AF8" s="2">
        <v>0</v>
      </c>
      <c r="AG8" s="2">
        <v>0</v>
      </c>
      <c r="AH8" s="2">
        <v>0</v>
      </c>
      <c r="AI8" s="2">
        <v>96</v>
      </c>
      <c r="AJ8" s="2">
        <v>0</v>
      </c>
      <c r="AK8" s="2">
        <v>0</v>
      </c>
      <c r="AL8" s="2">
        <v>0</v>
      </c>
      <c r="AM8" s="3">
        <v>28.570999145507813</v>
      </c>
      <c r="AN8" s="2">
        <v>0</v>
      </c>
      <c r="AO8" s="2">
        <v>0</v>
      </c>
      <c r="AP8" s="2">
        <v>0</v>
      </c>
      <c r="AQ8" s="1" t="s">
        <v>66</v>
      </c>
      <c r="AR8" s="2">
        <v>300</v>
      </c>
      <c r="AS8" s="1" t="s">
        <v>80</v>
      </c>
      <c r="AT8" s="3">
        <v>3014.199951171875</v>
      </c>
      <c r="AU8" s="3">
        <v>974.20001220703125</v>
      </c>
      <c r="AV8" s="3">
        <v>3014.199951171875</v>
      </c>
      <c r="AW8" s="3">
        <v>3014.199951171875</v>
      </c>
      <c r="AX8" s="3">
        <v>2714.199951171875</v>
      </c>
      <c r="AY8" s="3">
        <v>163.20000000000002</v>
      </c>
      <c r="AZ8" s="3">
        <v>2877.3999511718748</v>
      </c>
      <c r="BA8" s="2">
        <v>0</v>
      </c>
      <c r="BB8" s="3">
        <v>517.93199121093744</v>
      </c>
      <c r="BC8" s="3">
        <v>3395.3319423828125</v>
      </c>
    </row>
    <row r="9" spans="1:55">
      <c r="A9" s="2">
        <v>2025</v>
      </c>
      <c r="B9" s="2">
        <v>6</v>
      </c>
      <c r="C9" s="2">
        <v>1</v>
      </c>
      <c r="D9" s="2">
        <v>741275</v>
      </c>
      <c r="E9" s="1" t="s">
        <v>81</v>
      </c>
      <c r="F9" s="1" t="s">
        <v>56</v>
      </c>
      <c r="G9" s="1" t="s">
        <v>71</v>
      </c>
      <c r="H9" s="1" t="s">
        <v>58</v>
      </c>
      <c r="I9" s="1" t="s">
        <v>82</v>
      </c>
      <c r="J9" s="1" t="s">
        <v>60</v>
      </c>
      <c r="K9" s="1" t="s">
        <v>61</v>
      </c>
      <c r="L9" s="1" t="s">
        <v>62</v>
      </c>
      <c r="M9" s="1" t="s">
        <v>83</v>
      </c>
      <c r="N9" s="1" t="s">
        <v>64</v>
      </c>
      <c r="O9" s="1" t="s">
        <v>65</v>
      </c>
      <c r="P9" s="2">
        <v>183</v>
      </c>
      <c r="Q9" s="2">
        <v>3</v>
      </c>
      <c r="R9" s="2">
        <v>0</v>
      </c>
      <c r="S9" s="2">
        <v>123</v>
      </c>
      <c r="T9" s="2">
        <v>60</v>
      </c>
      <c r="U9" s="2">
        <v>183</v>
      </c>
      <c r="V9" s="2">
        <v>7</v>
      </c>
      <c r="W9" s="2">
        <v>0</v>
      </c>
      <c r="X9" s="3">
        <v>581.72998046875</v>
      </c>
      <c r="Y9" s="2">
        <v>90</v>
      </c>
      <c r="Z9" s="2">
        <v>0</v>
      </c>
      <c r="AA9" s="2">
        <v>5580</v>
      </c>
      <c r="AB9" s="2">
        <v>150</v>
      </c>
      <c r="AC9" s="2">
        <v>3740</v>
      </c>
      <c r="AD9" s="3">
        <v>474.60000610351562</v>
      </c>
      <c r="AE9" s="2">
        <v>2711</v>
      </c>
      <c r="AF9" s="2">
        <v>0</v>
      </c>
      <c r="AG9" s="2">
        <v>0</v>
      </c>
      <c r="AH9" s="2">
        <v>0</v>
      </c>
      <c r="AI9" s="2">
        <v>180</v>
      </c>
      <c r="AJ9" s="2">
        <v>0</v>
      </c>
      <c r="AK9" s="2">
        <v>500</v>
      </c>
      <c r="AL9" s="2">
        <v>0</v>
      </c>
      <c r="AM9" s="3">
        <v>62.088443756103516</v>
      </c>
      <c r="AN9" s="2">
        <v>0</v>
      </c>
      <c r="AO9" s="2">
        <v>0</v>
      </c>
      <c r="AP9" s="2">
        <v>0</v>
      </c>
      <c r="AQ9" s="1" t="s">
        <v>66</v>
      </c>
      <c r="AR9" s="2">
        <v>0</v>
      </c>
      <c r="AS9" s="1" t="s">
        <v>66</v>
      </c>
      <c r="AT9" s="3">
        <v>13335.599609375</v>
      </c>
      <c r="AU9" s="3">
        <v>7755.60009765625</v>
      </c>
      <c r="AV9" s="3">
        <v>13335.599609375</v>
      </c>
      <c r="AW9" s="3">
        <v>13335.599609375</v>
      </c>
      <c r="AX9" s="3">
        <v>13335.599609375</v>
      </c>
      <c r="AY9" s="3">
        <v>446.40000000000003</v>
      </c>
      <c r="AZ9" s="3">
        <v>13781.999609375</v>
      </c>
      <c r="BA9" s="2">
        <v>0</v>
      </c>
      <c r="BB9" s="3">
        <v>2480.7599296875001</v>
      </c>
      <c r="BC9" s="3">
        <v>16262.759539062499</v>
      </c>
    </row>
    <row r="10" spans="1:55">
      <c r="A10" s="2">
        <v>2025</v>
      </c>
      <c r="B10" s="2">
        <v>6</v>
      </c>
      <c r="C10" s="2">
        <v>1</v>
      </c>
      <c r="D10" s="2">
        <v>793343</v>
      </c>
      <c r="E10" s="1" t="s">
        <v>84</v>
      </c>
      <c r="F10" s="1" t="s">
        <v>56</v>
      </c>
      <c r="G10" s="1" t="s">
        <v>75</v>
      </c>
      <c r="H10" s="1" t="s">
        <v>58</v>
      </c>
      <c r="I10" s="1" t="s">
        <v>82</v>
      </c>
      <c r="J10" s="1" t="s">
        <v>60</v>
      </c>
      <c r="K10" s="1" t="s">
        <v>61</v>
      </c>
      <c r="L10" s="1" t="s">
        <v>62</v>
      </c>
      <c r="M10" s="1" t="s">
        <v>85</v>
      </c>
      <c r="N10" s="1" t="s">
        <v>64</v>
      </c>
      <c r="O10" s="1" t="s">
        <v>65</v>
      </c>
      <c r="P10" s="2">
        <v>155</v>
      </c>
      <c r="Q10" s="2">
        <v>1</v>
      </c>
      <c r="R10" s="2">
        <v>0</v>
      </c>
      <c r="S10" s="2">
        <v>104</v>
      </c>
      <c r="T10" s="2">
        <v>51</v>
      </c>
      <c r="U10" s="2">
        <v>155</v>
      </c>
      <c r="V10" s="2">
        <v>7</v>
      </c>
      <c r="W10" s="2">
        <v>0</v>
      </c>
      <c r="X10" s="3">
        <v>487.60000610351562</v>
      </c>
      <c r="Y10" s="2">
        <v>25</v>
      </c>
      <c r="Z10" s="2">
        <v>0</v>
      </c>
      <c r="AA10" s="2">
        <v>3900</v>
      </c>
      <c r="AB10" s="2">
        <v>135</v>
      </c>
      <c r="AC10" s="2">
        <v>3140</v>
      </c>
      <c r="AD10" s="3">
        <v>419.45001220703125</v>
      </c>
      <c r="AE10" s="2">
        <v>2270</v>
      </c>
      <c r="AF10" s="2">
        <v>0</v>
      </c>
      <c r="AG10" s="2">
        <v>0</v>
      </c>
      <c r="AH10" s="2">
        <v>60</v>
      </c>
      <c r="AI10" s="2">
        <v>153</v>
      </c>
      <c r="AJ10" s="2">
        <v>0</v>
      </c>
      <c r="AK10" s="2">
        <v>500</v>
      </c>
      <c r="AL10" s="2">
        <v>0</v>
      </c>
      <c r="AM10" s="2">
        <v>60.000278472900391</v>
      </c>
      <c r="AN10" s="2">
        <v>0</v>
      </c>
      <c r="AO10" s="2">
        <v>0</v>
      </c>
      <c r="AP10" s="2">
        <v>0</v>
      </c>
      <c r="AQ10" s="1" t="s">
        <v>66</v>
      </c>
      <c r="AR10" s="2">
        <v>79</v>
      </c>
      <c r="AS10" s="1" t="s">
        <v>69</v>
      </c>
      <c r="AT10" s="3">
        <v>10577.4501953125</v>
      </c>
      <c r="AU10" s="3">
        <v>6677.4501953125</v>
      </c>
      <c r="AV10" s="3">
        <v>10577.4501953125</v>
      </c>
      <c r="AW10" s="3">
        <v>10577.4501953125</v>
      </c>
      <c r="AX10" s="3">
        <v>10498.4501953125</v>
      </c>
      <c r="AY10" s="3">
        <v>312</v>
      </c>
      <c r="AZ10" s="3">
        <v>10810.4501953125</v>
      </c>
      <c r="BA10" s="2">
        <v>0</v>
      </c>
      <c r="BB10" s="3">
        <v>1945.8810351562499</v>
      </c>
      <c r="BC10" s="3">
        <v>12756.33123046875</v>
      </c>
    </row>
    <row r="11" spans="1:55">
      <c r="A11" s="2">
        <v>2025</v>
      </c>
      <c r="B11" s="2">
        <v>6</v>
      </c>
      <c r="C11" s="2">
        <v>1</v>
      </c>
      <c r="D11" s="2">
        <v>784299</v>
      </c>
      <c r="E11" s="1" t="s">
        <v>86</v>
      </c>
      <c r="F11" s="1" t="s">
        <v>56</v>
      </c>
      <c r="G11" s="1" t="s">
        <v>71</v>
      </c>
      <c r="H11" s="1" t="s">
        <v>58</v>
      </c>
      <c r="I11" s="1" t="s">
        <v>87</v>
      </c>
      <c r="J11" s="1" t="s">
        <v>60</v>
      </c>
      <c r="K11" s="1" t="s">
        <v>61</v>
      </c>
      <c r="L11" s="1" t="s">
        <v>62</v>
      </c>
      <c r="M11" s="1" t="s">
        <v>88</v>
      </c>
      <c r="N11" s="1" t="s">
        <v>64</v>
      </c>
      <c r="O11" s="1" t="s">
        <v>65</v>
      </c>
      <c r="P11" s="2">
        <v>4</v>
      </c>
      <c r="Q11" s="2">
        <v>0</v>
      </c>
      <c r="R11" s="2">
        <v>0</v>
      </c>
      <c r="S11" s="2">
        <v>0</v>
      </c>
      <c r="T11" s="2">
        <v>4</v>
      </c>
      <c r="U11" s="2">
        <v>4</v>
      </c>
      <c r="V11" s="2">
        <v>1</v>
      </c>
      <c r="W11" s="2">
        <v>0</v>
      </c>
      <c r="X11" s="3">
        <v>5.5300002098083496</v>
      </c>
      <c r="Y11" s="2">
        <v>0</v>
      </c>
      <c r="Z11" s="2">
        <v>0</v>
      </c>
      <c r="AA11" s="2">
        <v>120</v>
      </c>
      <c r="AB11" s="2">
        <v>0</v>
      </c>
      <c r="AC11" s="2">
        <v>30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12</v>
      </c>
      <c r="AJ11" s="2">
        <v>0</v>
      </c>
      <c r="AK11" s="2">
        <v>0</v>
      </c>
      <c r="AL11" s="2">
        <v>0</v>
      </c>
      <c r="AM11" s="3">
        <v>1.0922777652740479</v>
      </c>
      <c r="AN11" s="2">
        <v>0</v>
      </c>
      <c r="AO11" s="2">
        <v>0</v>
      </c>
      <c r="AP11" s="2">
        <v>0</v>
      </c>
      <c r="AQ11" s="1" t="s">
        <v>66</v>
      </c>
      <c r="AR11" s="2">
        <v>2000</v>
      </c>
      <c r="AS11" s="1" t="s">
        <v>89</v>
      </c>
      <c r="AT11" s="2">
        <v>162</v>
      </c>
      <c r="AU11" s="2">
        <v>42</v>
      </c>
      <c r="AV11" s="2">
        <v>162</v>
      </c>
      <c r="AW11" s="2">
        <v>162</v>
      </c>
      <c r="AX11" s="2">
        <v>-1838</v>
      </c>
      <c r="AY11" s="3">
        <v>9.6</v>
      </c>
      <c r="AZ11" s="3">
        <v>-1828.4</v>
      </c>
      <c r="BA11" s="2">
        <v>0</v>
      </c>
      <c r="BB11" s="3">
        <v>-329.11200000000002</v>
      </c>
      <c r="BC11" s="3">
        <v>-2157.5120000000002</v>
      </c>
    </row>
    <row r="12" spans="1:55">
      <c r="A12" s="2">
        <v>2025</v>
      </c>
      <c r="B12" s="2">
        <v>6</v>
      </c>
      <c r="C12" s="2">
        <v>1</v>
      </c>
      <c r="D12" s="2">
        <v>757911</v>
      </c>
      <c r="E12" s="1" t="s">
        <v>90</v>
      </c>
      <c r="F12" s="1" t="s">
        <v>56</v>
      </c>
      <c r="G12" s="1" t="s">
        <v>57</v>
      </c>
      <c r="H12" s="1" t="s">
        <v>58</v>
      </c>
      <c r="I12" s="1" t="s">
        <v>91</v>
      </c>
      <c r="J12" s="1" t="s">
        <v>60</v>
      </c>
      <c r="K12" s="1" t="s">
        <v>61</v>
      </c>
      <c r="L12" s="1" t="s">
        <v>62</v>
      </c>
      <c r="M12" s="1" t="s">
        <v>92</v>
      </c>
      <c r="N12" s="1" t="s">
        <v>64</v>
      </c>
      <c r="O12" s="1" t="s">
        <v>65</v>
      </c>
      <c r="P12" s="2">
        <v>235</v>
      </c>
      <c r="Q12" s="2">
        <v>1</v>
      </c>
      <c r="R12" s="2">
        <v>9</v>
      </c>
      <c r="S12" s="2">
        <v>157</v>
      </c>
      <c r="T12" s="2">
        <v>78</v>
      </c>
      <c r="U12" s="2">
        <v>244</v>
      </c>
      <c r="V12" s="2">
        <v>7</v>
      </c>
      <c r="W12" s="2">
        <v>0</v>
      </c>
      <c r="X12" s="3">
        <v>426.70001220703125</v>
      </c>
      <c r="Y12" s="2">
        <v>25</v>
      </c>
      <c r="Z12" s="2">
        <v>225</v>
      </c>
      <c r="AA12" s="2">
        <v>6125</v>
      </c>
      <c r="AB12" s="2">
        <v>155</v>
      </c>
      <c r="AC12" s="2">
        <v>1010</v>
      </c>
      <c r="AD12" s="2">
        <v>0</v>
      </c>
      <c r="AE12" s="2">
        <v>3660</v>
      </c>
      <c r="AF12" s="2">
        <v>0</v>
      </c>
      <c r="AG12" s="2">
        <v>0</v>
      </c>
      <c r="AH12" s="2">
        <v>80</v>
      </c>
      <c r="AI12" s="2">
        <v>234</v>
      </c>
      <c r="AJ12" s="2">
        <v>0</v>
      </c>
      <c r="AK12" s="2">
        <v>800</v>
      </c>
      <c r="AL12" s="2">
        <v>0</v>
      </c>
      <c r="AM12" s="3">
        <v>62.766498565673828</v>
      </c>
      <c r="AN12" s="2">
        <v>0</v>
      </c>
      <c r="AO12" s="2">
        <v>0</v>
      </c>
      <c r="AP12" s="2">
        <v>0</v>
      </c>
      <c r="AQ12" s="1" t="s">
        <v>66</v>
      </c>
      <c r="AR12" s="3">
        <v>356.79998779296875</v>
      </c>
      <c r="AS12" s="1" t="s">
        <v>69</v>
      </c>
      <c r="AT12" s="2">
        <v>12064</v>
      </c>
      <c r="AU12" s="2">
        <v>5939</v>
      </c>
      <c r="AV12" s="2">
        <v>12064</v>
      </c>
      <c r="AW12" s="2">
        <v>12064</v>
      </c>
      <c r="AX12" s="3">
        <v>11707.2001953125</v>
      </c>
      <c r="AY12" s="3">
        <v>490</v>
      </c>
      <c r="AZ12" s="3">
        <v>12197.2001953125</v>
      </c>
      <c r="BA12" s="2">
        <v>0</v>
      </c>
      <c r="BB12" s="3">
        <v>2195.4960351562499</v>
      </c>
      <c r="BC12" s="3">
        <v>14392.696230468749</v>
      </c>
    </row>
    <row r="13" spans="1:55">
      <c r="A13" s="2">
        <v>2025</v>
      </c>
      <c r="B13" s="2">
        <v>6</v>
      </c>
      <c r="C13" s="2">
        <v>1</v>
      </c>
      <c r="D13" s="2">
        <v>763173</v>
      </c>
      <c r="E13" s="1" t="s">
        <v>93</v>
      </c>
      <c r="F13" s="1" t="s">
        <v>56</v>
      </c>
      <c r="G13" s="1" t="s">
        <v>57</v>
      </c>
      <c r="H13" s="1" t="s">
        <v>58</v>
      </c>
      <c r="I13" s="1" t="s">
        <v>91</v>
      </c>
      <c r="J13" s="1" t="s">
        <v>60</v>
      </c>
      <c r="K13" s="1" t="s">
        <v>61</v>
      </c>
      <c r="L13" s="1" t="s">
        <v>62</v>
      </c>
      <c r="M13" s="1" t="s">
        <v>92</v>
      </c>
      <c r="N13" s="1" t="s">
        <v>64</v>
      </c>
      <c r="O13" s="1" t="s">
        <v>65</v>
      </c>
      <c r="P13" s="2">
        <v>270</v>
      </c>
      <c r="Q13" s="2">
        <v>5</v>
      </c>
      <c r="R13" s="2">
        <v>28</v>
      </c>
      <c r="S13" s="2">
        <v>191</v>
      </c>
      <c r="T13" s="2">
        <v>79</v>
      </c>
      <c r="U13" s="2">
        <v>298</v>
      </c>
      <c r="V13" s="2">
        <v>7</v>
      </c>
      <c r="W13" s="2">
        <v>0</v>
      </c>
      <c r="X13" s="3">
        <v>495.51998901367187</v>
      </c>
      <c r="Y13" s="2">
        <v>125</v>
      </c>
      <c r="Z13" s="2">
        <v>700</v>
      </c>
      <c r="AA13" s="2">
        <v>7575</v>
      </c>
      <c r="AB13" s="2">
        <v>20</v>
      </c>
      <c r="AC13" s="2">
        <v>6780</v>
      </c>
      <c r="AD13" s="3">
        <v>1.6499999761581421</v>
      </c>
      <c r="AE13" s="2">
        <v>4470</v>
      </c>
      <c r="AF13" s="2">
        <v>0</v>
      </c>
      <c r="AG13" s="2">
        <v>0</v>
      </c>
      <c r="AH13" s="2">
        <v>0</v>
      </c>
      <c r="AI13" s="2">
        <v>261</v>
      </c>
      <c r="AJ13" s="2">
        <v>0</v>
      </c>
      <c r="AK13" s="2">
        <v>800</v>
      </c>
      <c r="AL13" s="2">
        <v>0</v>
      </c>
      <c r="AM13" s="2">
        <v>63</v>
      </c>
      <c r="AN13" s="2">
        <v>0</v>
      </c>
      <c r="AO13" s="2">
        <v>0</v>
      </c>
      <c r="AP13" s="2">
        <v>0</v>
      </c>
      <c r="AQ13" s="1" t="s">
        <v>66</v>
      </c>
      <c r="AR13" s="2">
        <v>0</v>
      </c>
      <c r="AS13" s="1" t="s">
        <v>66</v>
      </c>
      <c r="AT13" s="3">
        <v>19907.650390625</v>
      </c>
      <c r="AU13" s="3">
        <v>12332.650390625</v>
      </c>
      <c r="AV13" s="3">
        <v>19907.650390625</v>
      </c>
      <c r="AW13" s="3">
        <v>19907.650390625</v>
      </c>
      <c r="AX13" s="3">
        <v>19907.650390625</v>
      </c>
      <c r="AY13" s="3">
        <v>606</v>
      </c>
      <c r="AZ13" s="3">
        <v>20513.650390625</v>
      </c>
      <c r="BA13" s="2">
        <v>0</v>
      </c>
      <c r="BB13" s="3">
        <v>3692.4570703125</v>
      </c>
      <c r="BC13" s="3">
        <v>24206.107460937499</v>
      </c>
    </row>
    <row r="14" spans="1:55">
      <c r="A14" s="2">
        <v>2025</v>
      </c>
      <c r="B14" s="2">
        <v>6</v>
      </c>
      <c r="C14" s="2">
        <v>1</v>
      </c>
      <c r="D14" s="2">
        <v>780996</v>
      </c>
      <c r="E14" s="1" t="s">
        <v>94</v>
      </c>
      <c r="F14" s="1" t="s">
        <v>56</v>
      </c>
      <c r="G14" s="1" t="s">
        <v>57</v>
      </c>
      <c r="H14" s="1" t="s">
        <v>58</v>
      </c>
      <c r="I14" s="1" t="s">
        <v>95</v>
      </c>
      <c r="J14" s="1" t="s">
        <v>60</v>
      </c>
      <c r="K14" s="1" t="s">
        <v>61</v>
      </c>
      <c r="L14" s="1" t="s">
        <v>62</v>
      </c>
      <c r="M14" s="1" t="s">
        <v>96</v>
      </c>
      <c r="N14" s="1" t="s">
        <v>64</v>
      </c>
      <c r="O14" s="1" t="s">
        <v>65</v>
      </c>
      <c r="P14" s="2">
        <v>65</v>
      </c>
      <c r="Q14" s="2">
        <v>3</v>
      </c>
      <c r="R14" s="2">
        <v>0</v>
      </c>
      <c r="S14" s="2">
        <v>63</v>
      </c>
      <c r="T14" s="2">
        <v>2</v>
      </c>
      <c r="U14" s="2">
        <v>65</v>
      </c>
      <c r="V14" s="2">
        <v>5</v>
      </c>
      <c r="W14" s="2">
        <v>0</v>
      </c>
      <c r="X14" s="3">
        <v>171.44999694824219</v>
      </c>
      <c r="Y14" s="2">
        <v>75</v>
      </c>
      <c r="Z14" s="2">
        <v>0</v>
      </c>
      <c r="AA14" s="2">
        <v>1700</v>
      </c>
      <c r="AB14" s="2">
        <v>20</v>
      </c>
      <c r="AC14" s="2">
        <v>205</v>
      </c>
      <c r="AD14" s="3">
        <v>58.860000610351563</v>
      </c>
      <c r="AE14" s="2">
        <v>569</v>
      </c>
      <c r="AF14" s="2">
        <v>0</v>
      </c>
      <c r="AG14" s="2">
        <v>0</v>
      </c>
      <c r="AH14" s="2">
        <v>30</v>
      </c>
      <c r="AI14" s="2">
        <v>6</v>
      </c>
      <c r="AJ14" s="2">
        <v>0</v>
      </c>
      <c r="AK14" s="2">
        <v>0</v>
      </c>
      <c r="AL14" s="2">
        <v>0</v>
      </c>
      <c r="AM14" s="3">
        <v>25.735889434814453</v>
      </c>
      <c r="AN14" s="2">
        <v>0</v>
      </c>
      <c r="AO14" s="2">
        <v>0</v>
      </c>
      <c r="AP14" s="2">
        <v>0</v>
      </c>
      <c r="AQ14" s="1" t="s">
        <v>66</v>
      </c>
      <c r="AR14" s="2">
        <v>0</v>
      </c>
      <c r="AS14" s="1" t="s">
        <v>66</v>
      </c>
      <c r="AT14" s="3">
        <v>2588.860107421875</v>
      </c>
      <c r="AU14" s="3">
        <v>888.8599853515625</v>
      </c>
      <c r="AV14" s="3">
        <v>2588.860107421875</v>
      </c>
      <c r="AW14" s="3">
        <v>2588.860107421875</v>
      </c>
      <c r="AX14" s="3">
        <v>2588.860107421875</v>
      </c>
      <c r="AY14" s="3">
        <v>136</v>
      </c>
      <c r="AZ14" s="3">
        <v>2724.860107421875</v>
      </c>
      <c r="BA14" s="2">
        <v>0</v>
      </c>
      <c r="BB14" s="3">
        <v>490.47481933593747</v>
      </c>
      <c r="BC14" s="3">
        <v>3215.3349267578124</v>
      </c>
    </row>
    <row r="15" spans="1:55">
      <c r="A15" s="2">
        <v>2025</v>
      </c>
      <c r="B15" s="2">
        <v>6</v>
      </c>
      <c r="C15" s="2">
        <v>1</v>
      </c>
      <c r="D15" s="2">
        <v>756144</v>
      </c>
      <c r="E15" s="1" t="s">
        <v>97</v>
      </c>
      <c r="F15" s="1" t="s">
        <v>56</v>
      </c>
      <c r="G15" s="1" t="s">
        <v>71</v>
      </c>
      <c r="H15" s="1" t="s">
        <v>58</v>
      </c>
      <c r="I15" s="1" t="s">
        <v>98</v>
      </c>
      <c r="J15" s="1" t="s">
        <v>60</v>
      </c>
      <c r="K15" s="1" t="s">
        <v>61</v>
      </c>
      <c r="L15" s="1" t="s">
        <v>62</v>
      </c>
      <c r="M15" s="1" t="s">
        <v>99</v>
      </c>
      <c r="N15" s="1" t="s">
        <v>64</v>
      </c>
      <c r="O15" s="1" t="s">
        <v>65</v>
      </c>
      <c r="P15" s="2">
        <v>124</v>
      </c>
      <c r="Q15" s="2">
        <v>0</v>
      </c>
      <c r="R15" s="2">
        <v>0</v>
      </c>
      <c r="S15" s="2">
        <v>80</v>
      </c>
      <c r="T15" s="2">
        <v>44</v>
      </c>
      <c r="U15" s="2">
        <v>124</v>
      </c>
      <c r="V15" s="2">
        <v>6</v>
      </c>
      <c r="W15" s="2">
        <v>0</v>
      </c>
      <c r="X15" s="3">
        <v>236.22000122070312</v>
      </c>
      <c r="Y15" s="2">
        <v>0</v>
      </c>
      <c r="Z15" s="2">
        <v>0</v>
      </c>
      <c r="AA15" s="2">
        <v>3720</v>
      </c>
      <c r="AB15" s="2">
        <v>80</v>
      </c>
      <c r="AC15" s="2">
        <v>195</v>
      </c>
      <c r="AD15" s="3">
        <v>53.599998474121094</v>
      </c>
      <c r="AE15" s="2">
        <v>1492</v>
      </c>
      <c r="AF15" s="2">
        <v>0</v>
      </c>
      <c r="AG15" s="2">
        <v>0</v>
      </c>
      <c r="AH15" s="2">
        <v>30</v>
      </c>
      <c r="AI15" s="2">
        <v>132</v>
      </c>
      <c r="AJ15" s="2">
        <v>0</v>
      </c>
      <c r="AK15" s="2">
        <v>250</v>
      </c>
      <c r="AL15" s="2">
        <v>0</v>
      </c>
      <c r="AM15" s="3">
        <v>50.975276947021484</v>
      </c>
      <c r="AN15" s="2">
        <v>0</v>
      </c>
      <c r="AO15" s="2">
        <v>0</v>
      </c>
      <c r="AP15" s="2">
        <v>0</v>
      </c>
      <c r="AQ15" s="1" t="s">
        <v>66</v>
      </c>
      <c r="AR15" s="2">
        <v>20</v>
      </c>
      <c r="AS15" s="1" t="s">
        <v>69</v>
      </c>
      <c r="AT15" s="3">
        <v>5952.60009765625</v>
      </c>
      <c r="AU15" s="3">
        <v>2232.60009765625</v>
      </c>
      <c r="AV15" s="3">
        <v>5952.60009765625</v>
      </c>
      <c r="AW15" s="3">
        <v>5952.60009765625</v>
      </c>
      <c r="AX15" s="3">
        <v>5932.60009765625</v>
      </c>
      <c r="AY15" s="3">
        <v>297.60000000000002</v>
      </c>
      <c r="AZ15" s="3">
        <v>6230.2000976562504</v>
      </c>
      <c r="BA15" s="2">
        <v>0</v>
      </c>
      <c r="BB15" s="3">
        <v>1121.4360175781251</v>
      </c>
      <c r="BC15" s="3">
        <v>7351.6361152343752</v>
      </c>
    </row>
    <row r="16" spans="1:55">
      <c r="A16" s="2">
        <v>2025</v>
      </c>
      <c r="B16" s="2">
        <v>6</v>
      </c>
      <c r="C16" s="2">
        <v>1</v>
      </c>
      <c r="D16" s="2">
        <v>786490</v>
      </c>
      <c r="E16" s="1" t="s">
        <v>100</v>
      </c>
      <c r="F16" s="1" t="s">
        <v>56</v>
      </c>
      <c r="G16" s="1" t="s">
        <v>75</v>
      </c>
      <c r="H16" s="1" t="s">
        <v>58</v>
      </c>
      <c r="I16" s="1" t="s">
        <v>98</v>
      </c>
      <c r="J16" s="1" t="s">
        <v>60</v>
      </c>
      <c r="K16" s="1" t="s">
        <v>61</v>
      </c>
      <c r="L16" s="1" t="s">
        <v>62</v>
      </c>
      <c r="M16" s="1" t="s">
        <v>101</v>
      </c>
      <c r="N16" s="1" t="s">
        <v>64</v>
      </c>
      <c r="O16" s="1" t="s">
        <v>65</v>
      </c>
      <c r="P16" s="2">
        <v>149</v>
      </c>
      <c r="Q16" s="2">
        <v>1</v>
      </c>
      <c r="R16" s="2">
        <v>0</v>
      </c>
      <c r="S16" s="2">
        <v>95</v>
      </c>
      <c r="T16" s="2">
        <v>54</v>
      </c>
      <c r="U16" s="2">
        <v>149</v>
      </c>
      <c r="V16" s="2">
        <v>7</v>
      </c>
      <c r="W16" s="2">
        <v>0</v>
      </c>
      <c r="X16" s="3">
        <v>295.10000610351562</v>
      </c>
      <c r="Y16" s="2">
        <v>25</v>
      </c>
      <c r="Z16" s="2">
        <v>0</v>
      </c>
      <c r="AA16" s="2">
        <v>3750</v>
      </c>
      <c r="AB16" s="2">
        <v>90</v>
      </c>
      <c r="AC16" s="2">
        <v>255</v>
      </c>
      <c r="AD16" s="3">
        <v>67.300003051757813</v>
      </c>
      <c r="AE16" s="2">
        <v>1788</v>
      </c>
      <c r="AF16" s="2">
        <v>0</v>
      </c>
      <c r="AG16" s="2">
        <v>0</v>
      </c>
      <c r="AH16" s="2">
        <v>0</v>
      </c>
      <c r="AI16" s="2">
        <v>162</v>
      </c>
      <c r="AJ16" s="2">
        <v>0</v>
      </c>
      <c r="AK16" s="2">
        <v>250</v>
      </c>
      <c r="AL16" s="2">
        <v>0</v>
      </c>
      <c r="AM16" s="3">
        <v>60.845500946044922</v>
      </c>
      <c r="AN16" s="2">
        <v>0</v>
      </c>
      <c r="AO16" s="2">
        <v>0</v>
      </c>
      <c r="AP16" s="2">
        <v>0</v>
      </c>
      <c r="AQ16" s="1" t="s">
        <v>66</v>
      </c>
      <c r="AR16" s="2">
        <v>30</v>
      </c>
      <c r="AS16" s="1" t="s">
        <v>69</v>
      </c>
      <c r="AT16" s="3">
        <v>6362.2998046875</v>
      </c>
      <c r="AU16" s="3">
        <v>2612.300048828125</v>
      </c>
      <c r="AV16" s="3">
        <v>6362.2998046875</v>
      </c>
      <c r="AW16" s="3">
        <v>6362.2998046875</v>
      </c>
      <c r="AX16" s="3">
        <v>6332.2998046875</v>
      </c>
      <c r="AY16" s="3">
        <v>300</v>
      </c>
      <c r="AZ16" s="3">
        <v>6632.2998046875</v>
      </c>
      <c r="BA16" s="2">
        <v>0</v>
      </c>
      <c r="BB16" s="3">
        <v>1193.81396484375</v>
      </c>
      <c r="BC16" s="3">
        <v>7826.11376953125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G3" sqref="G3"/>
    </sheetView>
  </sheetViews>
  <sheetFormatPr defaultRowHeight="14.25"/>
  <cols>
    <col min="2" max="2" width="21.875" bestFit="1" customWidth="1"/>
    <col min="3" max="3" width="14.5" bestFit="1" customWidth="1"/>
    <col min="4" max="4" width="16" customWidth="1"/>
    <col min="9" max="9" width="10.75" customWidth="1"/>
  </cols>
  <sheetData>
    <row r="1" spans="1:9" ht="30">
      <c r="A1" s="4" t="s">
        <v>3</v>
      </c>
      <c r="B1" s="4" t="s">
        <v>4</v>
      </c>
      <c r="C1" s="4" t="s">
        <v>15</v>
      </c>
      <c r="D1" s="5" t="s">
        <v>49</v>
      </c>
      <c r="E1" s="4" t="s">
        <v>111</v>
      </c>
      <c r="F1" s="4" t="s">
        <v>112</v>
      </c>
      <c r="G1" s="4" t="s">
        <v>113</v>
      </c>
      <c r="H1" s="4" t="s">
        <v>114</v>
      </c>
      <c r="I1" s="4" t="s">
        <v>115</v>
      </c>
    </row>
    <row r="2" spans="1:9" ht="15">
      <c r="A2" s="6">
        <v>735193</v>
      </c>
      <c r="B2" s="7" t="s">
        <v>102</v>
      </c>
      <c r="C2" s="6">
        <v>46</v>
      </c>
      <c r="D2" s="8">
        <v>1499.050048828125</v>
      </c>
      <c r="E2" s="10">
        <v>0</v>
      </c>
      <c r="F2" s="11">
        <f>584+816</f>
        <v>1400</v>
      </c>
      <c r="G2" s="10">
        <v>1540</v>
      </c>
      <c r="H2" s="12">
        <f>(D2-E2-F2)*0.01</f>
        <v>0.99050048828125004</v>
      </c>
      <c r="I2" s="12">
        <f>D2-E2-F2-G2-H2</f>
        <v>-1441.9404516601562</v>
      </c>
    </row>
    <row r="3" spans="1:9" ht="15">
      <c r="A3" s="6">
        <v>744645</v>
      </c>
      <c r="B3" s="7" t="s">
        <v>103</v>
      </c>
      <c r="C3" s="6">
        <v>52</v>
      </c>
      <c r="D3" s="8">
        <v>1611.199951171875</v>
      </c>
      <c r="E3" s="10">
        <v>0</v>
      </c>
      <c r="F3" s="11">
        <v>781</v>
      </c>
      <c r="G3" s="10">
        <v>1320</v>
      </c>
      <c r="H3" s="12">
        <f t="shared" ref="H3:H16" si="0">(D3-E3-F3)*0.01</f>
        <v>8.3019995117187495</v>
      </c>
      <c r="I3" s="12">
        <f t="shared" ref="I3:I16" si="1">D3-E3-F3-G3-H3</f>
        <v>-498.10204833984375</v>
      </c>
    </row>
    <row r="4" spans="1:9" ht="15">
      <c r="A4" s="6">
        <v>753406</v>
      </c>
      <c r="B4" s="7" t="s">
        <v>104</v>
      </c>
      <c r="C4" s="6">
        <v>133</v>
      </c>
      <c r="D4" s="8">
        <v>5118.39990234375</v>
      </c>
      <c r="E4" s="10">
        <v>0</v>
      </c>
      <c r="F4" s="11">
        <v>500</v>
      </c>
      <c r="G4" s="10">
        <v>1540</v>
      </c>
      <c r="H4" s="12">
        <f t="shared" si="0"/>
        <v>46.183999023437501</v>
      </c>
      <c r="I4" s="12">
        <f t="shared" si="1"/>
        <v>3032.2159033203125</v>
      </c>
    </row>
    <row r="5" spans="1:9" ht="15">
      <c r="A5" s="6">
        <v>784832</v>
      </c>
      <c r="B5" s="7" t="s">
        <v>105</v>
      </c>
      <c r="C5" s="6">
        <v>108</v>
      </c>
      <c r="D5" s="8">
        <v>3335.199951171875</v>
      </c>
      <c r="E5" s="10"/>
      <c r="F5" s="11">
        <v>0</v>
      </c>
      <c r="G5" s="10">
        <v>1540</v>
      </c>
      <c r="H5" s="12">
        <f t="shared" si="0"/>
        <v>33.351999511718752</v>
      </c>
      <c r="I5" s="12">
        <f t="shared" si="1"/>
        <v>1761.8479516601562</v>
      </c>
    </row>
    <row r="6" spans="1:9" ht="15">
      <c r="A6" s="6">
        <v>794501</v>
      </c>
      <c r="B6" s="7" t="s">
        <v>74</v>
      </c>
      <c r="C6" s="6">
        <v>2</v>
      </c>
      <c r="D6" s="8">
        <v>77.5</v>
      </c>
      <c r="E6" s="10"/>
      <c r="F6" s="11">
        <v>0</v>
      </c>
      <c r="G6" s="10">
        <v>0</v>
      </c>
      <c r="H6" s="12">
        <f t="shared" si="0"/>
        <v>0.77500000000000002</v>
      </c>
      <c r="I6" s="12">
        <f t="shared" si="1"/>
        <v>76.724999999999994</v>
      </c>
    </row>
    <row r="7" spans="1:9" ht="15">
      <c r="A7" s="6">
        <v>799654</v>
      </c>
      <c r="B7" s="7" t="s">
        <v>76</v>
      </c>
      <c r="C7" s="6">
        <v>40</v>
      </c>
      <c r="D7" s="8">
        <v>1396.699951171875</v>
      </c>
      <c r="E7" s="10"/>
      <c r="F7" s="11">
        <v>0</v>
      </c>
      <c r="G7" s="10"/>
      <c r="H7" s="12">
        <f t="shared" si="0"/>
        <v>13.96699951171875</v>
      </c>
      <c r="I7" s="12">
        <f t="shared" si="1"/>
        <v>1382.7329516601562</v>
      </c>
    </row>
    <row r="8" spans="1:9" ht="15">
      <c r="A8" s="6">
        <v>793831</v>
      </c>
      <c r="B8" s="7" t="s">
        <v>77</v>
      </c>
      <c r="C8" s="6">
        <v>67</v>
      </c>
      <c r="D8" s="8">
        <v>2714.199951171875</v>
      </c>
      <c r="E8" s="10"/>
      <c r="F8" s="11">
        <v>49</v>
      </c>
      <c r="G8" s="10">
        <v>1540</v>
      </c>
      <c r="H8" s="12">
        <f t="shared" si="0"/>
        <v>26.651999511718749</v>
      </c>
      <c r="I8" s="12">
        <f t="shared" si="1"/>
        <v>1098.5479516601563</v>
      </c>
    </row>
    <row r="9" spans="1:9" ht="15">
      <c r="A9" s="6">
        <v>741275</v>
      </c>
      <c r="B9" s="7" t="s">
        <v>106</v>
      </c>
      <c r="C9" s="6">
        <v>183</v>
      </c>
      <c r="D9" s="8">
        <v>13335.599609375</v>
      </c>
      <c r="E9" s="10"/>
      <c r="F9" s="11">
        <v>0</v>
      </c>
      <c r="G9" s="10">
        <v>1540</v>
      </c>
      <c r="H9" s="12">
        <f t="shared" si="0"/>
        <v>133.35599609375001</v>
      </c>
      <c r="I9" s="12">
        <f t="shared" si="1"/>
        <v>11662.243613281251</v>
      </c>
    </row>
    <row r="10" spans="1:9" ht="15">
      <c r="A10" s="6">
        <v>793343</v>
      </c>
      <c r="B10" s="7" t="s">
        <v>84</v>
      </c>
      <c r="C10" s="6">
        <v>155</v>
      </c>
      <c r="D10" s="8">
        <v>10498.4501953125</v>
      </c>
      <c r="E10" s="10"/>
      <c r="F10" s="11">
        <v>0</v>
      </c>
      <c r="G10" s="10">
        <v>1540</v>
      </c>
      <c r="H10" s="12">
        <f t="shared" si="0"/>
        <v>104.984501953125</v>
      </c>
      <c r="I10" s="12">
        <f t="shared" si="1"/>
        <v>8853.4656933593742</v>
      </c>
    </row>
    <row r="11" spans="1:9" ht="15">
      <c r="A11" s="6">
        <v>784299</v>
      </c>
      <c r="B11" s="7" t="s">
        <v>86</v>
      </c>
      <c r="C11" s="6">
        <v>4</v>
      </c>
      <c r="D11" s="6">
        <v>-1838</v>
      </c>
      <c r="E11" s="10"/>
      <c r="F11" s="11">
        <v>0</v>
      </c>
      <c r="G11" s="10">
        <v>0</v>
      </c>
      <c r="H11" s="12">
        <f t="shared" si="0"/>
        <v>-18.38</v>
      </c>
      <c r="I11" s="12">
        <f t="shared" si="1"/>
        <v>-1819.62</v>
      </c>
    </row>
    <row r="12" spans="1:9" ht="15">
      <c r="A12" s="6">
        <v>757911</v>
      </c>
      <c r="B12" s="7" t="s">
        <v>107</v>
      </c>
      <c r="C12" s="6">
        <v>235</v>
      </c>
      <c r="D12" s="8">
        <v>11707.2001953125</v>
      </c>
      <c r="E12" s="10"/>
      <c r="F12" s="11">
        <v>0</v>
      </c>
      <c r="G12" s="10">
        <v>1400</v>
      </c>
      <c r="H12" s="12">
        <f t="shared" si="0"/>
        <v>117.072001953125</v>
      </c>
      <c r="I12" s="12">
        <f t="shared" si="1"/>
        <v>10190.128193359375</v>
      </c>
    </row>
    <row r="13" spans="1:9" ht="15">
      <c r="A13" s="6">
        <v>763173</v>
      </c>
      <c r="B13" s="7" t="s">
        <v>108</v>
      </c>
      <c r="C13" s="6">
        <v>270</v>
      </c>
      <c r="D13" s="8">
        <v>19907.650390625</v>
      </c>
      <c r="E13" s="10"/>
      <c r="F13" s="11">
        <v>0</v>
      </c>
      <c r="G13" s="10">
        <v>1400</v>
      </c>
      <c r="H13" s="12">
        <f t="shared" si="0"/>
        <v>199.07650390625</v>
      </c>
      <c r="I13" s="12">
        <f t="shared" si="1"/>
        <v>18308.57388671875</v>
      </c>
    </row>
    <row r="14" spans="1:9" ht="15">
      <c r="A14" s="6">
        <v>780996</v>
      </c>
      <c r="B14" s="7" t="s">
        <v>94</v>
      </c>
      <c r="C14" s="6">
        <v>65</v>
      </c>
      <c r="D14" s="8">
        <v>2588.860107421875</v>
      </c>
      <c r="E14" s="10"/>
      <c r="F14" s="11">
        <v>0</v>
      </c>
      <c r="G14" s="10">
        <v>1540</v>
      </c>
      <c r="H14" s="12">
        <f t="shared" si="0"/>
        <v>25.888601074218752</v>
      </c>
      <c r="I14" s="12">
        <f t="shared" si="1"/>
        <v>1022.9715063476563</v>
      </c>
    </row>
    <row r="15" spans="1:9" ht="15">
      <c r="A15" s="6">
        <v>756144</v>
      </c>
      <c r="B15" s="7" t="s">
        <v>109</v>
      </c>
      <c r="C15" s="6">
        <v>124</v>
      </c>
      <c r="D15" s="8">
        <v>5932.60009765625</v>
      </c>
      <c r="E15" s="10"/>
      <c r="F15" s="11">
        <v>0</v>
      </c>
      <c r="G15" s="10">
        <v>1100</v>
      </c>
      <c r="H15" s="12">
        <f t="shared" si="0"/>
        <v>59.326000976562504</v>
      </c>
      <c r="I15" s="12">
        <f t="shared" si="1"/>
        <v>4773.2740966796873</v>
      </c>
    </row>
    <row r="16" spans="1:9" ht="15">
      <c r="A16" s="6">
        <v>786490</v>
      </c>
      <c r="B16" s="7" t="s">
        <v>110</v>
      </c>
      <c r="C16" s="6">
        <v>149</v>
      </c>
      <c r="D16" s="8">
        <v>6332.2998046875</v>
      </c>
      <c r="E16" s="10"/>
      <c r="F16" s="11">
        <v>0</v>
      </c>
      <c r="G16" s="10">
        <v>1320</v>
      </c>
      <c r="H16" s="12">
        <f t="shared" si="0"/>
        <v>63.322998046875</v>
      </c>
      <c r="I16" s="12">
        <f t="shared" si="1"/>
        <v>4948.976806640625</v>
      </c>
    </row>
    <row r="20" spans="7:7">
      <c r="G20" s="9"/>
    </row>
  </sheetData>
  <autoFilter ref="A1:I16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G2" sqref="G2:G12"/>
    </sheetView>
  </sheetViews>
  <sheetFormatPr defaultRowHeight="14.25"/>
  <cols>
    <col min="3" max="3" width="22.25" customWidth="1"/>
    <col min="4" max="4" width="16.75" bestFit="1" customWidth="1"/>
    <col min="5" max="5" width="14.875" customWidth="1"/>
    <col min="6" max="6" width="16.625" customWidth="1"/>
    <col min="7" max="7" width="17.625" customWidth="1"/>
  </cols>
  <sheetData>
    <row r="1" spans="1:8" ht="15">
      <c r="A1" s="13" t="s">
        <v>116</v>
      </c>
      <c r="B1" s="4" t="s">
        <v>3</v>
      </c>
      <c r="C1" s="4" t="s">
        <v>4</v>
      </c>
      <c r="D1" s="13" t="s">
        <v>117</v>
      </c>
      <c r="E1" s="13" t="s">
        <v>118</v>
      </c>
      <c r="F1" s="13" t="s">
        <v>119</v>
      </c>
      <c r="G1" s="13" t="s">
        <v>120</v>
      </c>
      <c r="H1" s="14" t="s">
        <v>121</v>
      </c>
    </row>
    <row r="2" spans="1:8" ht="15">
      <c r="A2" s="11">
        <v>1</v>
      </c>
      <c r="B2" s="18">
        <v>753406</v>
      </c>
      <c r="C2" s="19" t="s">
        <v>104</v>
      </c>
      <c r="D2" s="16" t="s">
        <v>143</v>
      </c>
      <c r="E2" s="15">
        <v>39321585102</v>
      </c>
      <c r="F2" s="16" t="s">
        <v>122</v>
      </c>
      <c r="G2" s="16" t="s">
        <v>123</v>
      </c>
      <c r="H2" s="20">
        <v>3032.2159033203125</v>
      </c>
    </row>
    <row r="3" spans="1:8" ht="15">
      <c r="A3" s="11">
        <v>2</v>
      </c>
      <c r="B3" s="18">
        <v>784832</v>
      </c>
      <c r="C3" s="19" t="s">
        <v>105</v>
      </c>
      <c r="D3" s="19" t="s">
        <v>144</v>
      </c>
      <c r="E3" s="16" t="s">
        <v>124</v>
      </c>
      <c r="F3" s="16" t="s">
        <v>125</v>
      </c>
      <c r="G3" s="16" t="s">
        <v>126</v>
      </c>
      <c r="H3" s="20">
        <v>1761.8479516601562</v>
      </c>
    </row>
    <row r="4" spans="1:8" ht="15">
      <c r="A4" s="11">
        <v>3</v>
      </c>
      <c r="B4" s="18">
        <v>799654</v>
      </c>
      <c r="C4" s="19" t="s">
        <v>76</v>
      </c>
      <c r="D4" s="16" t="s">
        <v>151</v>
      </c>
      <c r="E4" s="21">
        <v>48960100002806</v>
      </c>
      <c r="F4" s="22" t="s">
        <v>149</v>
      </c>
      <c r="G4" s="16" t="s">
        <v>150</v>
      </c>
      <c r="H4" s="20">
        <v>1382.7329516601562</v>
      </c>
    </row>
    <row r="5" spans="1:8" ht="15">
      <c r="A5" s="11">
        <v>4</v>
      </c>
      <c r="B5" s="18">
        <v>793831</v>
      </c>
      <c r="C5" s="19" t="s">
        <v>77</v>
      </c>
      <c r="D5" s="16" t="s">
        <v>152</v>
      </c>
      <c r="E5" s="21">
        <v>923010052104221</v>
      </c>
      <c r="F5" s="21" t="s">
        <v>147</v>
      </c>
      <c r="G5" s="16" t="s">
        <v>148</v>
      </c>
      <c r="H5" s="20">
        <v>1098.5479516601563</v>
      </c>
    </row>
    <row r="6" spans="1:8" ht="15">
      <c r="A6" s="11">
        <v>5</v>
      </c>
      <c r="B6" s="18">
        <v>741275</v>
      </c>
      <c r="C6" s="19" t="s">
        <v>106</v>
      </c>
      <c r="D6" s="16" t="s">
        <v>137</v>
      </c>
      <c r="E6" s="15" t="s">
        <v>127</v>
      </c>
      <c r="F6" s="16" t="s">
        <v>128</v>
      </c>
      <c r="G6" s="16" t="s">
        <v>129</v>
      </c>
      <c r="H6" s="20">
        <v>11662.243613281251</v>
      </c>
    </row>
    <row r="7" spans="1:8" ht="15">
      <c r="A7" s="11">
        <v>6</v>
      </c>
      <c r="B7" s="18">
        <v>793343</v>
      </c>
      <c r="C7" s="19" t="s">
        <v>84</v>
      </c>
      <c r="D7" s="16" t="s">
        <v>153</v>
      </c>
      <c r="E7" s="21">
        <v>750302010016829</v>
      </c>
      <c r="F7" s="16" t="s">
        <v>130</v>
      </c>
      <c r="G7" s="16" t="s">
        <v>131</v>
      </c>
      <c r="H7" s="20">
        <v>8853.4656933593742</v>
      </c>
    </row>
    <row r="8" spans="1:8" ht="15">
      <c r="A8" s="11">
        <v>7</v>
      </c>
      <c r="B8" s="18">
        <v>757911</v>
      </c>
      <c r="C8" s="19" t="s">
        <v>107</v>
      </c>
      <c r="D8" s="16" t="s">
        <v>138</v>
      </c>
      <c r="E8" s="15">
        <v>921010042861859</v>
      </c>
      <c r="F8" s="16" t="s">
        <v>132</v>
      </c>
      <c r="G8" s="16" t="s">
        <v>126</v>
      </c>
      <c r="H8" s="20">
        <v>10190.128193359375</v>
      </c>
    </row>
    <row r="9" spans="1:8" ht="15">
      <c r="A9" s="11">
        <v>8</v>
      </c>
      <c r="B9" s="18">
        <v>763173</v>
      </c>
      <c r="C9" s="19" t="s">
        <v>108</v>
      </c>
      <c r="D9" s="16" t="s">
        <v>139</v>
      </c>
      <c r="E9" s="16">
        <v>548865079</v>
      </c>
      <c r="F9" s="16" t="s">
        <v>133</v>
      </c>
      <c r="G9" s="16" t="s">
        <v>134</v>
      </c>
      <c r="H9" s="20">
        <v>18308.57388671875</v>
      </c>
    </row>
    <row r="10" spans="1:8" ht="15">
      <c r="A10" s="11">
        <v>9</v>
      </c>
      <c r="B10" s="18">
        <v>780996</v>
      </c>
      <c r="C10" s="19" t="s">
        <v>94</v>
      </c>
      <c r="D10" s="16" t="s">
        <v>142</v>
      </c>
      <c r="E10" s="16">
        <v>25034936342</v>
      </c>
      <c r="F10" s="16" t="s">
        <v>145</v>
      </c>
      <c r="G10" s="16" t="s">
        <v>146</v>
      </c>
      <c r="H10" s="20">
        <v>1022.9715063476563</v>
      </c>
    </row>
    <row r="11" spans="1:8" ht="15">
      <c r="A11" s="11">
        <v>10</v>
      </c>
      <c r="B11" s="18">
        <v>756144</v>
      </c>
      <c r="C11" s="19" t="s">
        <v>109</v>
      </c>
      <c r="D11" s="16" t="s">
        <v>140</v>
      </c>
      <c r="E11" s="15">
        <v>31194991598</v>
      </c>
      <c r="F11" s="16" t="s">
        <v>135</v>
      </c>
      <c r="G11" s="16" t="s">
        <v>123</v>
      </c>
      <c r="H11" s="20">
        <v>4773.2740966796873</v>
      </c>
    </row>
    <row r="12" spans="1:8" ht="15">
      <c r="A12" s="11">
        <v>11</v>
      </c>
      <c r="B12" s="18">
        <v>786490</v>
      </c>
      <c r="C12" s="19" t="s">
        <v>110</v>
      </c>
      <c r="D12" s="16" t="s">
        <v>141</v>
      </c>
      <c r="E12" s="17">
        <v>4050174360</v>
      </c>
      <c r="F12" s="17" t="s">
        <v>136</v>
      </c>
      <c r="G12" s="17" t="s">
        <v>134</v>
      </c>
      <c r="H12" s="20">
        <v>4948.976806640625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B11" sqref="B11:H12"/>
    </sheetView>
  </sheetViews>
  <sheetFormatPr defaultRowHeight="14.25"/>
  <cols>
    <col min="1" max="1" width="3.875" bestFit="1" customWidth="1"/>
    <col min="2" max="2" width="13.625" bestFit="1" customWidth="1"/>
    <col min="3" max="3" width="5.75" customWidth="1"/>
    <col min="4" max="4" width="13" bestFit="1" customWidth="1"/>
    <col min="5" max="5" width="6.5" bestFit="1" customWidth="1"/>
    <col min="6" max="6" width="9.75" bestFit="1" customWidth="1"/>
    <col min="7" max="7" width="14.875" bestFit="1" customWidth="1"/>
    <col min="8" max="8" width="11.25" customWidth="1"/>
  </cols>
  <sheetData>
    <row r="1" spans="1:9" ht="21.75" customHeight="1">
      <c r="A1" s="29" t="s">
        <v>116</v>
      </c>
      <c r="B1" s="29" t="s">
        <v>154</v>
      </c>
      <c r="C1" s="29" t="s">
        <v>155</v>
      </c>
      <c r="D1" s="29" t="s">
        <v>156</v>
      </c>
      <c r="E1" s="29" t="s">
        <v>121</v>
      </c>
      <c r="F1" s="29" t="s">
        <v>157</v>
      </c>
      <c r="G1" s="29" t="s">
        <v>120</v>
      </c>
      <c r="H1" s="29" t="s">
        <v>158</v>
      </c>
      <c r="I1" s="29" t="s">
        <v>159</v>
      </c>
    </row>
    <row r="2" spans="1:9">
      <c r="A2" s="28">
        <v>1</v>
      </c>
      <c r="B2" s="25" t="s">
        <v>143</v>
      </c>
      <c r="C2" s="25" t="s">
        <v>160</v>
      </c>
      <c r="D2" s="23">
        <v>39321585102</v>
      </c>
      <c r="E2" s="24">
        <v>3032.2159033203125</v>
      </c>
      <c r="F2" s="25" t="s">
        <v>122</v>
      </c>
      <c r="G2" s="25" t="s">
        <v>123</v>
      </c>
      <c r="H2" s="25">
        <v>9226251819</v>
      </c>
      <c r="I2" s="25"/>
    </row>
    <row r="3" spans="1:9">
      <c r="A3" s="28">
        <v>2</v>
      </c>
      <c r="B3" s="25" t="s">
        <v>144</v>
      </c>
      <c r="C3" s="25" t="s">
        <v>160</v>
      </c>
      <c r="D3" s="25" t="s">
        <v>124</v>
      </c>
      <c r="E3" s="24">
        <v>1761.8479516601562</v>
      </c>
      <c r="F3" s="25" t="s">
        <v>125</v>
      </c>
      <c r="G3" s="25" t="s">
        <v>126</v>
      </c>
      <c r="H3" s="25">
        <v>8638643859</v>
      </c>
      <c r="I3" s="25"/>
    </row>
    <row r="4" spans="1:9">
      <c r="A4" s="28">
        <v>3</v>
      </c>
      <c r="B4" s="25" t="s">
        <v>151</v>
      </c>
      <c r="C4" s="25" t="s">
        <v>160</v>
      </c>
      <c r="D4" s="26">
        <v>48960100002806</v>
      </c>
      <c r="E4" s="24">
        <v>1382.7329516601562</v>
      </c>
      <c r="F4" s="26" t="s">
        <v>149</v>
      </c>
      <c r="G4" s="25" t="s">
        <v>150</v>
      </c>
      <c r="H4" s="25">
        <v>9923769623</v>
      </c>
      <c r="I4" s="25"/>
    </row>
    <row r="5" spans="1:9">
      <c r="A5" s="28">
        <v>4</v>
      </c>
      <c r="B5" s="25" t="s">
        <v>152</v>
      </c>
      <c r="C5" s="25" t="s">
        <v>160</v>
      </c>
      <c r="D5" s="26">
        <v>923010052104221</v>
      </c>
      <c r="E5" s="24">
        <v>1098.5479516601563</v>
      </c>
      <c r="F5" s="26" t="s">
        <v>147</v>
      </c>
      <c r="G5" s="25" t="s">
        <v>148</v>
      </c>
      <c r="H5" s="25">
        <v>7972397975</v>
      </c>
      <c r="I5" s="25"/>
    </row>
    <row r="6" spans="1:9">
      <c r="A6" s="28">
        <v>5</v>
      </c>
      <c r="B6" s="25" t="s">
        <v>137</v>
      </c>
      <c r="C6" s="25" t="s">
        <v>160</v>
      </c>
      <c r="D6" s="23" t="s">
        <v>127</v>
      </c>
      <c r="E6" s="24">
        <v>11662.243613281251</v>
      </c>
      <c r="F6" s="25" t="s">
        <v>128</v>
      </c>
      <c r="G6" s="25" t="s">
        <v>129</v>
      </c>
      <c r="H6" s="25">
        <v>8808099254</v>
      </c>
      <c r="I6" s="25"/>
    </row>
    <row r="7" spans="1:9">
      <c r="A7" s="28">
        <v>6</v>
      </c>
      <c r="B7" s="25" t="s">
        <v>153</v>
      </c>
      <c r="C7" s="25" t="s">
        <v>160</v>
      </c>
      <c r="D7" s="26">
        <v>750302010016829</v>
      </c>
      <c r="E7" s="24">
        <v>8853.4656933593742</v>
      </c>
      <c r="F7" s="25" t="s">
        <v>130</v>
      </c>
      <c r="G7" s="25" t="s">
        <v>131</v>
      </c>
      <c r="H7" s="25">
        <v>9936855983</v>
      </c>
      <c r="I7" s="25"/>
    </row>
    <row r="8" spans="1:9">
      <c r="A8" s="28">
        <v>7</v>
      </c>
      <c r="B8" s="25" t="s">
        <v>138</v>
      </c>
      <c r="C8" s="25" t="s">
        <v>160</v>
      </c>
      <c r="D8" s="23">
        <v>921010042861859</v>
      </c>
      <c r="E8" s="24">
        <v>10190.128193359375</v>
      </c>
      <c r="F8" s="25" t="s">
        <v>132</v>
      </c>
      <c r="G8" s="25" t="s">
        <v>126</v>
      </c>
      <c r="H8" s="25">
        <v>8600180668</v>
      </c>
      <c r="I8" s="25"/>
    </row>
    <row r="9" spans="1:9">
      <c r="A9" s="28">
        <v>8</v>
      </c>
      <c r="B9" s="25" t="s">
        <v>139</v>
      </c>
      <c r="C9" s="25" t="s">
        <v>160</v>
      </c>
      <c r="D9" s="25">
        <v>548865079</v>
      </c>
      <c r="E9" s="24">
        <v>18308.57388671875</v>
      </c>
      <c r="F9" s="25" t="s">
        <v>133</v>
      </c>
      <c r="G9" s="25" t="s">
        <v>134</v>
      </c>
      <c r="H9" s="25">
        <v>8766598339</v>
      </c>
      <c r="I9" s="25"/>
    </row>
    <row r="10" spans="1:9">
      <c r="A10" s="28">
        <v>9</v>
      </c>
      <c r="B10" s="25" t="s">
        <v>142</v>
      </c>
      <c r="C10" s="25" t="s">
        <v>160</v>
      </c>
      <c r="D10" s="25">
        <v>25034936342</v>
      </c>
      <c r="E10" s="24">
        <v>1022.9715063476563</v>
      </c>
      <c r="F10" s="25" t="s">
        <v>145</v>
      </c>
      <c r="G10" s="25" t="s">
        <v>146</v>
      </c>
      <c r="H10" s="25">
        <v>8329698467</v>
      </c>
      <c r="I10" s="25"/>
    </row>
    <row r="11" spans="1:9">
      <c r="A11" s="28">
        <v>10</v>
      </c>
      <c r="B11" s="25" t="s">
        <v>140</v>
      </c>
      <c r="C11" s="25" t="s">
        <v>160</v>
      </c>
      <c r="D11" s="23">
        <v>31194991598</v>
      </c>
      <c r="E11" s="24">
        <v>4773.2740966796873</v>
      </c>
      <c r="F11" s="25" t="s">
        <v>135</v>
      </c>
      <c r="G11" s="25" t="s">
        <v>123</v>
      </c>
      <c r="H11" s="25">
        <v>7350987782</v>
      </c>
      <c r="I11" s="25"/>
    </row>
    <row r="12" spans="1:9">
      <c r="A12" s="28">
        <v>11</v>
      </c>
      <c r="B12" s="25" t="s">
        <v>141</v>
      </c>
      <c r="C12" s="25" t="s">
        <v>160</v>
      </c>
      <c r="D12" s="27">
        <v>4050174360</v>
      </c>
      <c r="E12" s="24">
        <v>4948.976806640625</v>
      </c>
      <c r="F12" s="27" t="s">
        <v>136</v>
      </c>
      <c r="G12" s="27" t="s">
        <v>134</v>
      </c>
      <c r="H12" s="25">
        <v>7517557492</v>
      </c>
      <c r="I12" s="2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Sheet1</vt:lpstr>
      <vt:lpstr>Sheet2</vt:lpstr>
      <vt:lpstr>Payment File</vt:lpstr>
      <vt:lpstr>Bank File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HP</cp:lastModifiedBy>
  <dcterms:created xsi:type="dcterms:W3CDTF">2025-06-09T09:25:36Z</dcterms:created>
  <dcterms:modified xsi:type="dcterms:W3CDTF">2025-06-18T09:22:10Z</dcterms:modified>
</cp:coreProperties>
</file>