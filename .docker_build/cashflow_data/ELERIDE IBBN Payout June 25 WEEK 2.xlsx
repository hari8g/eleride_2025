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455" activeTab="2"/>
  </bookViews>
  <sheets>
    <sheet name="Sheet3" sheetId="3" r:id="rId1"/>
    <sheet name="Sheet1" sheetId="1" r:id="rId2"/>
    <sheet name="Sheet2" sheetId="2" r:id="rId3"/>
  </sheets>
  <definedNames>
    <definedName name="_xlnm._FilterDatabase" localSheetId="2" hidden="1">Sheet2!$A$1:$I$20</definedName>
  </definedNames>
  <calcPr calcId="152511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10" i="2"/>
  <c r="I14" i="2"/>
  <c r="H3" i="2"/>
  <c r="I3" i="2" s="1"/>
  <c r="H4" i="2"/>
  <c r="I4" i="2" s="1"/>
  <c r="H5" i="2"/>
  <c r="I5" i="2" s="1"/>
  <c r="H6" i="2"/>
  <c r="H7" i="2"/>
  <c r="I7" i="2" s="1"/>
  <c r="H8" i="2"/>
  <c r="I8" i="2" s="1"/>
  <c r="H9" i="2"/>
  <c r="I9" i="2" s="1"/>
  <c r="H10" i="2"/>
  <c r="H11" i="2"/>
  <c r="I11" i="2" s="1"/>
  <c r="H12" i="2"/>
  <c r="I12" i="2" s="1"/>
  <c r="H13" i="2"/>
  <c r="I13" i="2" s="1"/>
  <c r="H14" i="2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" i="2"/>
  <c r="I2" i="2" s="1"/>
</calcChain>
</file>

<file path=xl/sharedStrings.xml><?xml version="1.0" encoding="utf-8"?>
<sst xmlns="http://schemas.openxmlformats.org/spreadsheetml/2006/main" count="363" uniqueCount="124">
  <si>
    <t>year</t>
  </si>
  <si>
    <t>month</t>
  </si>
  <si>
    <t>week</t>
  </si>
  <si>
    <t>cee_id</t>
  </si>
  <si>
    <t>cee_name</t>
  </si>
  <si>
    <t>cee_employment_category</t>
  </si>
  <si>
    <t>cee_category</t>
  </si>
  <si>
    <t>city</t>
  </si>
  <si>
    <t>store</t>
  </si>
  <si>
    <t>store_type</t>
  </si>
  <si>
    <t>lmd_provider</t>
  </si>
  <si>
    <t>MG STATUS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</si>
  <si>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</si>
  <si>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</si>
  <si>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</si>
  <si>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</si>
  <si>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</si>
  <si>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</si>
  <si>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</si>
  <si>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</si>
  <si>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</si>
  <si>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</si>
  <si>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</si>
  <si>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</si>
  <si>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</si>
  <si>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</si>
  <si>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</si>
  <si>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</si>
  <si>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</si>
  <si>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</si>
  <si>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</si>
  <si>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daily_order_payout</t>
  </si>
  <si>
    <t>weekly_order_payout</t>
  </si>
  <si>
    <t>monthly_order_payout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</si>
  <si>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</si>
  <si>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</si>
  <si>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</si>
  <si>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</si>
  <si>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</si>
  <si>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</si>
  <si>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</si>
  <si>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</si>
  <si>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</si>
  <si>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</si>
  <si>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</si>
  <si>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</si>
  <si>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base_pay</t>
  </si>
  <si>
    <t>incentive_total</t>
  </si>
  <si>
    <t>total_without_arrears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</si>
  <si>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</si>
  <si>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</si>
  <si>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</si>
  <si>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</si>
  <si>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</si>
  <si>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</si>
  <si>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final_with_gst</t>
  </si>
  <si>
    <t>ELERIDEFIRSTDHAMMPAL AVHAD</t>
  </si>
  <si>
    <t>TPL CEE</t>
  </si>
  <si>
    <t>EV</t>
  </si>
  <si>
    <t>PUNE</t>
  </si>
  <si>
    <t>BSPUN-HINJEWADI-GS1</t>
  </si>
  <si>
    <t>INTEGRATED</t>
  </si>
  <si>
    <t>ELERIDE MOBILITY SOLUTIONS PVT LTD</t>
  </si>
  <si>
    <t>Service Fees</t>
  </si>
  <si>
    <t>BIKE</t>
  </si>
  <si>
    <t>INTEGRATED-IBBN-RC-008583-19</t>
  </si>
  <si>
    <t>7 DAYS</t>
  </si>
  <si>
    <t>EXCEPTION - SLOT TARGET INCENTIVE</t>
  </si>
  <si>
    <t/>
  </si>
  <si>
    <t>ELERIDESUNILDATTATRAY0RAUT</t>
  </si>
  <si>
    <t>default_arrear_rate_card</t>
  </si>
  <si>
    <t>TAPASH KUMAR SAHAELERIDE</t>
  </si>
  <si>
    <t>MANJURULLAHKHAN ELERIDE</t>
  </si>
  <si>
    <t>NEV</t>
  </si>
  <si>
    <t>INTEGRATED-IBBN-RC-008582-20</t>
  </si>
  <si>
    <t>IBND DEDUCTION</t>
  </si>
  <si>
    <t>SAURABHKANK</t>
  </si>
  <si>
    <t>LSV</t>
  </si>
  <si>
    <t>BADALADE ELERIDE</t>
  </si>
  <si>
    <t>TUSHARMOHITE</t>
  </si>
  <si>
    <t>DAYANANDKALE</t>
  </si>
  <si>
    <t>BSPUN-JAGDISHNAGAR-BS2</t>
  </si>
  <si>
    <t>INTEGRATED-IBBN-RC-009659-11</t>
  </si>
  <si>
    <t>NIKHIL RAJU GUPTELERIDE BREAK</t>
  </si>
  <si>
    <t>BSPUN-KSQARE-BANER-BS1</t>
  </si>
  <si>
    <t>INTEGRATED-IBBN-RC-009931-16</t>
  </si>
  <si>
    <t>INCORRECT ORDER ACKNOWLEDGEMENT PROCESS DEVIATION, INCORRECT ORDER ACKNOWLEDGEMENT PROCESS DEVIATION</t>
  </si>
  <si>
    <t>AMANJAISWAL</t>
  </si>
  <si>
    <t>INTEGRATED-IBBN-RC-009926-16</t>
  </si>
  <si>
    <t>IMRANSHAIKH</t>
  </si>
  <si>
    <t>BSPUN-WAKAD-BS1</t>
  </si>
  <si>
    <t>INTEGRATED-IBBN-RC-009932-16</t>
  </si>
  <si>
    <t>ROHAN SUDHKAR CHAVANELRD  BREAK</t>
  </si>
  <si>
    <t>T1EX-PUN-BANER</t>
  </si>
  <si>
    <t>INTEGRATED-IBBN-RC-011702-7</t>
  </si>
  <si>
    <t>ADESH KUMAR RAWATELERIDE</t>
  </si>
  <si>
    <t>SANGAMNAIK</t>
  </si>
  <si>
    <t>PRASHANTSWAMI</t>
  </si>
  <si>
    <t>T1EX-PUN-LOHEGAON</t>
  </si>
  <si>
    <t>INTEGRATED-IBBN-RC-008558-14</t>
  </si>
  <si>
    <t>GAURAOJAISWAL</t>
  </si>
  <si>
    <t>T1EX-PUN-PIMPRI</t>
  </si>
  <si>
    <t>INTEGRATED-IBBN-RC-013235-8</t>
  </si>
  <si>
    <t>REKHAKUSALKAR</t>
  </si>
  <si>
    <t>T1EX-PUN-SINHAGADROAD</t>
  </si>
  <si>
    <t>INTEGRATED-IBBN-RC-013772-5</t>
  </si>
  <si>
    <t>SACHIN NAYASE7350987782</t>
  </si>
  <si>
    <t>T1EX-PUN-WAGHOLI</t>
  </si>
  <si>
    <t>INTEGRATED-IBBN-RC-009587-15</t>
  </si>
  <si>
    <t>SANTOSH NAYASE7517557492</t>
  </si>
  <si>
    <t>INTEGRATED-IBBN-RC-009586-14</t>
  </si>
  <si>
    <t>Advance</t>
  </si>
  <si>
    <t>Negative</t>
  </si>
  <si>
    <t>TDS</t>
  </si>
  <si>
    <t>Final Pay</t>
  </si>
  <si>
    <t>Rental</t>
  </si>
  <si>
    <t>Row Labels</t>
  </si>
  <si>
    <t>(blank)</t>
  </si>
  <si>
    <t>Grand Total</t>
  </si>
  <si>
    <t>Sum of delivered_orders</t>
  </si>
  <si>
    <t>Sum of total_with_arrears_and_deductions</t>
  </si>
  <si>
    <t>Sum of management_fee</t>
  </si>
  <si>
    <t>Sum of total_with_management_fee</t>
  </si>
  <si>
    <t>Sum of total with arrears anddeductions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</si>
</sst>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"/>
    <numFmt numFmtId="165" formatCode="###0.##"/>
  </numFmts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2" fontId="3" fillId="0" borderId="1" xfId="0" applyNumberFormat="1" applyFont="1" applyBorder="1"/>
    <xf numFmtId="2" fontId="3" fillId="0" borderId="2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826.656029861108" createdVersion="5" refreshedVersion="5" minRefreshableVersion="3" recordCount="20">
  <cacheSource type="worksheet">
    <worksheetSource ref="A1:BD1048576" sheet="Sheet1"/>
  </cacheSource>
  <cacheFields count="56">
    <cacheField name="year" numFmtId="0">
      <sharedItems containsString="0" containsBlank="1" containsNumber="1" containsInteger="1" minValue="2025" maxValue="2025"/>
    </cacheField>
    <cacheField name="month" numFmtId="0">
      <sharedItems containsString="0" containsBlank="1" containsNumber="1" containsInteger="1" minValue="6" maxValue="6"/>
    </cacheField>
    <cacheField name="week" numFmtId="0">
      <sharedItems containsString="0" containsBlank="1" containsNumber="1" containsInteger="1" minValue="2" maxValue="2"/>
    </cacheField>
    <cacheField name="cee_id" numFmtId="0">
      <sharedItems containsString="0" containsBlank="1" containsNumber="1" containsInteger="1" minValue="735193" maxValue="803593"/>
    </cacheField>
    <cacheField name="cee_name" numFmtId="0">
      <sharedItems containsBlank="1"/>
    </cacheField>
    <cacheField name="cee_employment_category" numFmtId="0">
      <sharedItems containsBlank="1"/>
    </cacheField>
    <cacheField name="cee_category" numFmtId="0">
      <sharedItems containsBlank="1"/>
    </cacheField>
    <cacheField name="city" numFmtId="0">
      <sharedItems containsBlank="1"/>
    </cacheField>
    <cacheField name="store" numFmtId="0">
      <sharedItems containsBlank="1" count="10">
        <s v="BSPUN-HINJEWADI-GS1"/>
        <s v="BSPUN-JAGDISHNAGAR-BS2"/>
        <s v="BSPUN-KSQARE-BANER-BS1"/>
        <s v="BSPUN-WAKAD-BS1"/>
        <s v="T1EX-PUN-BANER"/>
        <s v="T1EX-PUN-LOHEGAON"/>
        <s v="T1EX-PUN-PIMPRI"/>
        <s v="T1EX-PUN-SINHAGADROAD"/>
        <s v="T1EX-PUN-WAGHOLI"/>
        <m/>
      </sharedItems>
    </cacheField>
    <cacheField name="store_type" numFmtId="0">
      <sharedItems containsBlank="1"/>
    </cacheField>
    <cacheField name="lmd_provider" numFmtId="0">
      <sharedItems containsBlank="1"/>
    </cacheField>
    <cacheField name="MG STATUS" numFmtId="0">
      <sharedItems containsBlank="1"/>
    </cacheField>
    <cacheField name="delivery_mode" numFmtId="0">
      <sharedItems containsBlank="1"/>
    </cacheField>
    <cacheField name="rate_card_id" numFmtId="0">
      <sharedItems containsBlank="1"/>
    </cacheField>
    <cacheField name="settlement_frequency" numFmtId="0">
      <sharedItems containsBlank="1"/>
    </cacheField>
    <cacheField name="delivered_orders" numFmtId="0">
      <sharedItems containsString="0" containsBlank="1" containsNumber="1" containsInteger="1" minValue="0" maxValue="236"/>
    </cacheField>
    <cacheField name="cancelled_orders" numFmtId="0">
      <sharedItems containsString="0" containsBlank="1" containsNumber="1" containsInteger="1" minValue="0" maxValue="6"/>
    </cacheField>
    <cacheField name="pickup_orders" numFmtId="0">
      <sharedItems containsString="0" containsBlank="1" containsNumber="1" containsInteger="1" minValue="0" maxValue="4"/>
    </cacheField>
    <cacheField name="weekday_orders" numFmtId="0">
      <sharedItems containsString="0" containsBlank="1" containsNumber="1" containsInteger="1" minValue="0" maxValue="165"/>
    </cacheField>
    <cacheField name="weekend_orders" numFmtId="0">
      <sharedItems containsString="0" containsBlank="1" containsNumber="1" containsInteger="1" minValue="0" maxValue="71"/>
    </cacheField>
    <cacheField name="incentivised_orders" numFmtId="0">
      <sharedItems containsString="0" containsBlank="1" containsNumber="1" containsInteger="1" minValue="0" maxValue="236"/>
    </cacheField>
    <cacheField name="attendance" numFmtId="0">
      <sharedItems containsString="0" containsBlank="1" containsNumber="1" containsInteger="1" minValue="0" maxValue="7"/>
    </cacheField>
    <cacheField name="month_attendance" numFmtId="0">
      <sharedItems containsString="0" containsBlank="1" containsNumber="1" containsInteger="1" minValue="0" maxValue="0"/>
    </cacheField>
    <cacheField name="distance" numFmtId="0">
      <sharedItems containsString="0" containsBlank="1" containsNumber="1" minValue="0" maxValue="552.47998046875"/>
    </cacheField>
    <cacheField name="cancelled_order_payout" numFmtId="0">
      <sharedItems containsString="0" containsBlank="1" containsNumber="1" containsInteger="1" minValue="0" maxValue="150"/>
    </cacheField>
    <cacheField name="pickup_order_payout" numFmtId="0">
      <sharedItems containsString="0" containsBlank="1" containsNumber="1" containsInteger="1" minValue="0" maxValue="120"/>
    </cacheField>
    <cacheField name="order_base_payout" numFmtId="0">
      <sharedItems containsString="0" containsBlank="1" containsNumber="1" containsInteger="1" minValue="0" maxValue="5925"/>
    </cacheField>
    <cacheField name="surge_payout" numFmtId="0">
      <sharedItems containsString="0" containsBlank="1" containsNumber="1" containsInteger="1" minValue="0" maxValue="250"/>
    </cacheField>
    <cacheField name="peak_hour_payout" numFmtId="0">
      <sharedItems containsString="0" containsBlank="1" containsNumber="1" containsInteger="1" minValue="0" maxValue="3600"/>
    </cacheField>
    <cacheField name="peak_slot_payout" numFmtId="0">
      <sharedItems containsString="0" containsBlank="1" containsNumber="1" containsInteger="1" minValue="0" maxValue="0"/>
    </cacheField>
    <cacheField name="order_distance_payout" numFmtId="0">
      <sharedItems containsString="0" containsBlank="1" containsNumber="1" minValue="0" maxValue="510.23001098632812"/>
    </cacheField>
    <cacheField name="daily_order_payout" numFmtId="0">
      <sharedItems containsString="0" containsBlank="1" containsNumber="1" containsInteger="1" minValue="0" maxValue="3477"/>
    </cacheField>
    <cacheField name="weekly_order_payout" numFmtId="0">
      <sharedItems containsString="0" containsBlank="1" containsNumber="1" containsInteger="1" minValue="0" maxValue="0"/>
    </cacheField>
    <cacheField name="monthly_order_payout" numFmtId="0">
      <sharedItems containsString="0" containsBlank="1" containsNumber="1" containsInteger="1" minValue="0" maxValue="0"/>
    </cacheField>
    <cacheField name="weight_payout" numFmtId="0">
      <sharedItems containsString="0" containsBlank="1" containsNumber="1" containsInteger="1" minValue="0" maxValue="50"/>
    </cacheField>
    <cacheField name="day_payout" numFmtId="0">
      <sharedItems containsString="0" containsBlank="1" containsNumber="1" containsInteger="1" minValue="0" maxValue="213"/>
    </cacheField>
    <cacheField name="joining_bonus" numFmtId="0">
      <sharedItems containsString="0" containsBlank="1" containsNumber="1" containsInteger="1" minValue="0" maxValue="0"/>
    </cacheField>
    <cacheField name="weekly_attendance_payout" numFmtId="0">
      <sharedItems containsString="0" containsBlank="1" containsNumber="1" containsInteger="1" minValue="0" maxValue="800"/>
    </cacheField>
    <cacheField name="monthly_attendance_payout" numFmtId="0">
      <sharedItems containsString="0" containsBlank="1" containsNumber="1" containsInteger="1" minValue="0" maxValue="0"/>
    </cacheField>
    <cacheField name="service_time" numFmtId="0">
      <sharedItems containsString="0" containsBlank="1" containsNumber="1" minValue="0" maxValue="54"/>
    </cacheField>
    <cacheField name="minimum_guarantee" numFmtId="0">
      <sharedItems containsString="0" containsBlank="1" containsNumber="1" containsInteger="1" minValue="0" maxValue="300"/>
    </cacheField>
    <cacheField name="mg_eligible_days" numFmtId="0">
      <sharedItems containsString="0" containsBlank="1" containsNumber="1" containsInteger="1" minValue="0" maxValue="1"/>
    </cacheField>
    <cacheField name="arrears_amount" numFmtId="0">
      <sharedItems containsString="0" containsBlank="1" containsNumber="1" containsInteger="1" minValue="0" maxValue="1668"/>
    </cacheField>
    <cacheField name="arrears_reason" numFmtId="0">
      <sharedItems containsBlank="1"/>
    </cacheField>
    <cacheField name="deductions_amount" numFmtId="0">
      <sharedItems containsString="0" containsBlank="1" containsNumber="1" minValue="0" maxValue="100"/>
    </cacheField>
    <cacheField name="deductions_reason" numFmtId="0">
      <sharedItems containsBlank="1"/>
    </cacheField>
    <cacheField name="base_pay" numFmtId="0">
      <sharedItems containsString="0" containsBlank="1" containsNumber="1" minValue="0" maxValue="12755.5"/>
    </cacheField>
    <cacheField name="incentive_total" numFmtId="0">
      <sharedItems containsString="0" containsBlank="1" containsNumber="1" minValue="0" maxValue="7385.5"/>
    </cacheField>
    <cacheField name="total_without_arrears" numFmtId="0">
      <sharedItems containsString="0" containsBlank="1" containsNumber="1" minValue="0" maxValue="12755.5"/>
    </cacheField>
    <cacheField name="total_with_arrears" numFmtId="0">
      <sharedItems containsString="0" containsBlank="1" containsNumber="1" minValue="108.30000305175781" maxValue="12755.5"/>
    </cacheField>
    <cacheField name="total_with_arrears_and_deductions" numFmtId="0">
      <sharedItems containsString="0" containsBlank="1" containsNumber="1" minValue="108.30000305175781" maxValue="12655.5"/>
    </cacheField>
    <cacheField name="management_fee" numFmtId="0">
      <sharedItems containsString="0" containsBlank="1" containsNumber="1" minValue="0" maxValue="474"/>
    </cacheField>
    <cacheField name="total_with_management_fee" numFmtId="0">
      <sharedItems containsString="0" containsBlank="1" containsNumber="1" minValue="113.10000305175781" maxValue="13085.1"/>
    </cacheField>
    <cacheField name="tds" numFmtId="0">
      <sharedItems containsString="0" containsBlank="1" containsNumber="1" containsInteger="1" minValue="0" maxValue="0"/>
    </cacheField>
    <cacheField name="gst" numFmtId="0">
      <sharedItems containsString="0" containsBlank="1" containsNumber="1" minValue="20.358000549316404" maxValue="2355.3179999999998"/>
    </cacheField>
    <cacheField name="final_with_gst" numFmtId="0">
      <sharedItems containsString="0" containsBlank="1" containsNumber="1" minValue="133.45800360107421" maxValue="15440.4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n v="2025"/>
    <n v="6"/>
    <n v="2"/>
    <n v="735193"/>
    <s v="ELERIDEFIRSTDHAMMPAL AVHAD"/>
    <s v="TPL CEE"/>
    <s v="EV"/>
    <s v="PUNE"/>
    <x v="0"/>
    <s v="INTEGRATED"/>
    <s v="ELERIDE MOBILITY SOLUTIONS PVT LTD"/>
    <s v="Service Fees"/>
    <s v="BIKE"/>
    <s v="INTEGRATED-IBBN-RC-008583-19"/>
    <s v="7 DAYS"/>
    <n v="44"/>
    <n v="1"/>
    <n v="0"/>
    <n v="35"/>
    <n v="9"/>
    <n v="44"/>
    <n v="4"/>
    <n v="0"/>
    <n v="110.01999664306641"/>
    <n v="25"/>
    <n v="0"/>
    <n v="1125"/>
    <n v="0"/>
    <n v="0"/>
    <n v="0"/>
    <n v="27.950000762939453"/>
    <n v="252"/>
    <n v="0"/>
    <n v="0"/>
    <n v="0"/>
    <n v="27"/>
    <n v="0"/>
    <n v="0"/>
    <n v="0"/>
    <n v="11.72005558013916"/>
    <n v="0"/>
    <n v="0"/>
    <n v="235"/>
    <s v="EXCEPTION - SLOT TARGET INCENTIVE"/>
    <n v="0"/>
    <s v=""/>
    <n v="1431.949951171875"/>
    <n v="306.95001220703125"/>
    <n v="1431.949951171875"/>
    <n v="1666.949951171875"/>
    <n v="1666.949951171875"/>
    <n v="90"/>
    <n v="1756.949951171875"/>
    <n v="0"/>
    <n v="316.25099121093751"/>
    <n v="2073.2009423828126"/>
  </r>
  <r>
    <n v="2025"/>
    <n v="6"/>
    <n v="2"/>
    <n v="744645"/>
    <s v="ELERIDESUNILDATTATRAY0RAUT"/>
    <s v="TPL CEE"/>
    <s v="EV"/>
    <s v="PUNE"/>
    <x v="0"/>
    <s v="INTEGRATED"/>
    <s v="ELERIDE MOBILITY SOLUTIONS PVT LTD"/>
    <s v="Service Fees"/>
    <s v="BIKE"/>
    <s v="default_arrear_rate_card"/>
    <s v="7 DAY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9"/>
    <s v="EXCEPTION - SLOT TARGET INCENTIVE"/>
    <n v="0"/>
    <s v=""/>
    <n v="0"/>
    <n v="0"/>
    <n v="0"/>
    <n v="499"/>
    <n v="499"/>
    <n v="0"/>
    <n v="499"/>
    <n v="0"/>
    <n v="89.82"/>
    <n v="588.81999999999994"/>
  </r>
  <r>
    <n v="2025"/>
    <n v="6"/>
    <n v="2"/>
    <n v="753406"/>
    <s v="TAPASH KUMAR SAHAELERIDE"/>
    <s v="TPL CEE"/>
    <s v="EV"/>
    <s v="PUNE"/>
    <x v="0"/>
    <s v="INTEGRATED"/>
    <s v="ELERIDE MOBILITY SOLUTIONS PVT LTD"/>
    <s v="Service Fees"/>
    <s v="BIKE"/>
    <s v="INTEGRATED-IBBN-RC-008583-19"/>
    <s v="7 DAYS"/>
    <n v="101"/>
    <n v="3"/>
    <n v="0"/>
    <n v="74"/>
    <n v="27"/>
    <n v="101"/>
    <n v="5"/>
    <n v="0"/>
    <n v="230.19000244140625"/>
    <n v="75"/>
    <n v="0"/>
    <n v="2600"/>
    <n v="130"/>
    <n v="300"/>
    <n v="0"/>
    <n v="50.549999237060547"/>
    <n v="1216"/>
    <n v="0"/>
    <n v="0"/>
    <n v="0"/>
    <n v="84"/>
    <n v="0"/>
    <n v="0"/>
    <n v="0"/>
    <n v="38.522945404052734"/>
    <n v="0"/>
    <n v="0"/>
    <n v="1668"/>
    <s v="EXCEPTION - SLOT TARGET INCENTIVE"/>
    <n v="0"/>
    <s v=""/>
    <n v="4380.5498046875"/>
    <n v="1780.550048828125"/>
    <n v="4380.5498046875"/>
    <n v="6048.5498046875"/>
    <n v="6048.5498046875"/>
    <n v="208"/>
    <n v="6256.5498046875"/>
    <n v="0"/>
    <n v="1126.17896484375"/>
    <n v="7382.7287695312498"/>
  </r>
  <r>
    <n v="2025"/>
    <n v="6"/>
    <n v="2"/>
    <n v="784832"/>
    <s v="MANJURULLAHKHAN ELERIDE"/>
    <s v="TPL CEE"/>
    <s v="NEV"/>
    <s v="PUNE"/>
    <x v="0"/>
    <s v="INTEGRATED"/>
    <s v="ELERIDE MOBILITY SOLUTIONS PVT LTD"/>
    <s v="Service Fees"/>
    <s v="BIKE"/>
    <s v="INTEGRATED-IBBN-RC-008582-20"/>
    <s v="7 DAYS"/>
    <n v="165"/>
    <n v="2"/>
    <n v="0"/>
    <n v="132"/>
    <n v="33"/>
    <n v="165"/>
    <n v="7"/>
    <n v="0"/>
    <n v="391.44000244140625"/>
    <n v="60"/>
    <n v="0"/>
    <n v="5010"/>
    <n v="70"/>
    <n v="400"/>
    <n v="0"/>
    <n v="114.55000305175781"/>
    <n v="2235"/>
    <n v="0"/>
    <n v="0"/>
    <n v="0"/>
    <n v="105"/>
    <n v="0"/>
    <n v="500"/>
    <n v="0"/>
    <n v="46.889110565185547"/>
    <n v="300"/>
    <n v="1"/>
    <n v="0"/>
    <s v=""/>
    <n v="40"/>
    <s v="IBND DEDUCTION"/>
    <n v="8434.5498046875"/>
    <n v="3424.550048828125"/>
    <n v="8734.5498046875"/>
    <n v="8734.5498046875"/>
    <n v="8694.5498046875"/>
    <n v="400.8"/>
    <n v="9095.3498046874993"/>
    <n v="0"/>
    <n v="1637.1629648437497"/>
    <n v="10732.512769531249"/>
  </r>
  <r>
    <n v="2025"/>
    <n v="6"/>
    <n v="2"/>
    <n v="799654"/>
    <s v="SAURABHKANK"/>
    <s v="TPL CEE"/>
    <s v="LSV"/>
    <s v="PUNE"/>
    <x v="0"/>
    <s v="INTEGRATED"/>
    <s v="ELERIDE MOBILITY SOLUTIONS PVT LTD"/>
    <s v="Service Fees"/>
    <s v="BIKE"/>
    <s v="INTEGRATED-IBBN-RC-008583-19"/>
    <s v="7 DAYS"/>
    <n v="148"/>
    <n v="1"/>
    <n v="0"/>
    <n v="96"/>
    <n v="52"/>
    <n v="148"/>
    <n v="7"/>
    <n v="0"/>
    <n v="345.64999389648437"/>
    <n v="25"/>
    <n v="0"/>
    <n v="3725"/>
    <n v="115"/>
    <n v="50"/>
    <n v="0"/>
    <n v="99.800003051757813"/>
    <n v="1857"/>
    <n v="0"/>
    <n v="0"/>
    <n v="0"/>
    <n v="156"/>
    <n v="0"/>
    <n v="250"/>
    <n v="0"/>
    <n v="50.313610076904297"/>
    <n v="0"/>
    <n v="0"/>
    <n v="358"/>
    <s v="EXCEPTION - SLOT TARGET INCENTIVE"/>
    <n v="41.25"/>
    <s v="IBND DEDUCTION"/>
    <n v="6252.7998046875"/>
    <n v="2527.800048828125"/>
    <n v="6252.7998046875"/>
    <n v="6610.7998046875"/>
    <n v="6569.5498046875"/>
    <n v="298"/>
    <n v="6867.5498046875"/>
    <n v="0"/>
    <n v="1236.15896484375"/>
    <n v="8103.7087695312503"/>
  </r>
  <r>
    <n v="2025"/>
    <n v="6"/>
    <n v="2"/>
    <n v="801066"/>
    <s v="BADALADE ELERIDE"/>
    <s v="TPL CEE"/>
    <s v="LSV"/>
    <s v="PUNE"/>
    <x v="0"/>
    <s v="INTEGRATED"/>
    <s v="ELERIDE MOBILITY SOLUTIONS PVT LTD"/>
    <s v="Service Fees"/>
    <s v="BIKE"/>
    <s v="INTEGRATED-IBBN-RC-008583-19"/>
    <s v="7 DAYS"/>
    <n v="34"/>
    <n v="2"/>
    <n v="0"/>
    <n v="31"/>
    <n v="3"/>
    <n v="34"/>
    <n v="5"/>
    <n v="0"/>
    <n v="85.980003356933594"/>
    <n v="50"/>
    <n v="0"/>
    <n v="900"/>
    <n v="0"/>
    <n v="0"/>
    <n v="0"/>
    <n v="32.650001525878906"/>
    <n v="60"/>
    <n v="0"/>
    <n v="0"/>
    <n v="0"/>
    <n v="9"/>
    <n v="0"/>
    <n v="0"/>
    <n v="0"/>
    <n v="22.543388366699219"/>
    <n v="0"/>
    <n v="0"/>
    <n v="0"/>
    <s v=""/>
    <n v="0"/>
    <s v=""/>
    <n v="1001.6500244140625"/>
    <n v="101.65000152587891"/>
    <n v="1001.6500244140625"/>
    <n v="1001.6500244140625"/>
    <n v="1001.6500244140625"/>
    <n v="72"/>
    <n v="1073.6500244140625"/>
    <n v="0"/>
    <n v="193.25700439453124"/>
    <n v="1266.9070288085936"/>
  </r>
  <r>
    <n v="2025"/>
    <n v="6"/>
    <n v="2"/>
    <n v="801108"/>
    <s v="TUSHARMOHITE"/>
    <s v="TPL CEE"/>
    <s v="EV"/>
    <s v="PUNE"/>
    <x v="0"/>
    <s v="INTEGRATED"/>
    <s v="ELERIDE MOBILITY SOLUTIONS PVT LTD"/>
    <s v="Service Fees"/>
    <s v="BIKE"/>
    <s v="INTEGRATED-IBBN-RC-008583-19"/>
    <s v="7 DAYS"/>
    <n v="5"/>
    <n v="0"/>
    <n v="0"/>
    <n v="0"/>
    <n v="5"/>
    <n v="5"/>
    <n v="1"/>
    <n v="0"/>
    <n v="14.300000190734863"/>
    <n v="0"/>
    <n v="0"/>
    <n v="125"/>
    <n v="0"/>
    <n v="0"/>
    <n v="0"/>
    <n v="3.75"/>
    <n v="0"/>
    <n v="0"/>
    <n v="0"/>
    <n v="0"/>
    <n v="15"/>
    <n v="0"/>
    <n v="0"/>
    <n v="0"/>
    <n v="2.8373889923095703"/>
    <n v="0"/>
    <n v="0"/>
    <n v="0"/>
    <s v=""/>
    <n v="0"/>
    <s v=""/>
    <n v="143.75"/>
    <n v="18.75"/>
    <n v="143.75"/>
    <n v="143.75"/>
    <n v="143.75"/>
    <n v="10"/>
    <n v="153.75"/>
    <n v="0"/>
    <n v="27.675000000000001"/>
    <n v="181.42500000000001"/>
  </r>
  <r>
    <n v="2025"/>
    <n v="6"/>
    <n v="2"/>
    <n v="793831"/>
    <s v="DAYANANDKALE"/>
    <s v="TPL CEE"/>
    <s v="NEV"/>
    <s v="PUNE"/>
    <x v="1"/>
    <s v="INTEGRATED"/>
    <s v="ELERIDE MOBILITY SOLUTIONS PVT LTD"/>
    <s v="Service Fees"/>
    <s v="BIKE"/>
    <s v="INTEGRATED-IBBN-RC-009659-11"/>
    <s v="7 DAYS"/>
    <n v="112"/>
    <n v="1"/>
    <n v="0"/>
    <n v="85"/>
    <n v="27"/>
    <n v="112"/>
    <n v="6"/>
    <n v="0"/>
    <n v="307.3699951171875"/>
    <n v="30"/>
    <n v="0"/>
    <n v="3390"/>
    <n v="40"/>
    <n v="170"/>
    <n v="0"/>
    <n v="183.35000610351562"/>
    <n v="1305"/>
    <n v="0"/>
    <n v="0"/>
    <n v="0"/>
    <n v="81"/>
    <n v="0"/>
    <n v="250"/>
    <n v="0"/>
    <n v="40.268276214599609"/>
    <n v="0"/>
    <n v="0"/>
    <n v="0"/>
    <s v=""/>
    <n v="0"/>
    <s v=""/>
    <n v="5419.35009765625"/>
    <n v="2029.3499755859375"/>
    <n v="5419.35009765625"/>
    <n v="5419.35009765625"/>
    <n v="5419.35009765625"/>
    <n v="271.2"/>
    <n v="5690.5500976562498"/>
    <n v="0"/>
    <n v="1024.2990175781249"/>
    <n v="6714.8491152343749"/>
  </r>
  <r>
    <n v="2025"/>
    <n v="6"/>
    <n v="2"/>
    <n v="741275"/>
    <s v="NIKHIL RAJU GUPTELERIDE BREAK"/>
    <s v="TPL CEE"/>
    <s v="NEV"/>
    <s v="PUNE"/>
    <x v="2"/>
    <s v="INTEGRATED"/>
    <s v="ELERIDE MOBILITY SOLUTIONS PVT LTD"/>
    <s v="Service Fees"/>
    <s v="BIKE"/>
    <s v="INTEGRATED-IBBN-RC-009931-16"/>
    <s v="7 DAYS"/>
    <n v="176"/>
    <n v="3"/>
    <n v="0"/>
    <n v="122"/>
    <n v="54"/>
    <n v="176"/>
    <n v="7"/>
    <n v="0"/>
    <n v="552.47998046875"/>
    <n v="90"/>
    <n v="0"/>
    <n v="5370"/>
    <n v="70"/>
    <n v="3600"/>
    <n v="0"/>
    <n v="442.5"/>
    <n v="2608"/>
    <n v="0"/>
    <n v="0"/>
    <n v="0"/>
    <n v="165"/>
    <n v="0"/>
    <n v="500"/>
    <n v="0"/>
    <n v="51.882057189941406"/>
    <n v="0"/>
    <n v="0"/>
    <n v="0"/>
    <s v=""/>
    <n v="100"/>
    <s v="INCORRECT ORDER ACKNOWLEDGEMENT PROCESS DEVIATION, INCORRECT ORDER ACKNOWLEDGEMENT PROCESS DEVIATION"/>
    <n v="12755.5"/>
    <n v="7385.5"/>
    <n v="12755.5"/>
    <n v="12755.5"/>
    <n v="12655.5"/>
    <n v="429.6"/>
    <n v="13085.1"/>
    <n v="0"/>
    <n v="2355.3179999999998"/>
    <n v="15440.418"/>
  </r>
  <r>
    <n v="2025"/>
    <n v="6"/>
    <n v="2"/>
    <n v="793343"/>
    <s v="AMANJAISWAL"/>
    <s v="TPL CEE"/>
    <s v="LSV"/>
    <s v="PUNE"/>
    <x v="2"/>
    <s v="INTEGRATED"/>
    <s v="ELERIDE MOBILITY SOLUTIONS PVT LTD"/>
    <s v="Service Fees"/>
    <s v="BIKE"/>
    <s v="INTEGRATED-IBBN-RC-009926-16"/>
    <s v="7 DAYS"/>
    <n v="113"/>
    <n v="0"/>
    <n v="0"/>
    <n v="88"/>
    <n v="25"/>
    <n v="113"/>
    <n v="7"/>
    <n v="0"/>
    <n v="373.58999633789062"/>
    <n v="0"/>
    <n v="0"/>
    <n v="2825"/>
    <n v="60"/>
    <n v="2240"/>
    <n v="0"/>
    <n v="337.85000610351562"/>
    <n v="1590"/>
    <n v="0"/>
    <n v="0"/>
    <n v="0"/>
    <n v="75"/>
    <n v="0"/>
    <n v="250"/>
    <n v="0"/>
    <n v="39.265388488769531"/>
    <n v="0"/>
    <n v="0"/>
    <n v="0"/>
    <s v=""/>
    <n v="0"/>
    <s v=""/>
    <n v="7377.85009765625"/>
    <n v="4552.85009765625"/>
    <n v="7377.85009765625"/>
    <n v="7377.85009765625"/>
    <n v="7377.85009765625"/>
    <n v="226"/>
    <n v="7603.85009765625"/>
    <n v="0"/>
    <n v="1368.6930175781249"/>
    <n v="8972.5431152343754"/>
  </r>
  <r>
    <n v="2025"/>
    <n v="6"/>
    <n v="2"/>
    <n v="784299"/>
    <s v="IMRANSHAIKH"/>
    <s v="TPL CEE"/>
    <s v="NEV"/>
    <s v="PUNE"/>
    <x v="3"/>
    <s v="INTEGRATED"/>
    <s v="ELERIDE MOBILITY SOLUTIONS PVT LTD"/>
    <s v="Service Fees"/>
    <s v="BIKE"/>
    <s v="INTEGRATED-IBBN-RC-009932-16"/>
    <s v="7 DAYS"/>
    <n v="19"/>
    <n v="1"/>
    <n v="0"/>
    <n v="7"/>
    <n v="12"/>
    <n v="19"/>
    <n v="2"/>
    <n v="0"/>
    <n v="46.409999847412109"/>
    <n v="30"/>
    <n v="0"/>
    <n v="600"/>
    <n v="0"/>
    <n v="0"/>
    <n v="0"/>
    <n v="4.8000001907348633"/>
    <n v="60"/>
    <n v="0"/>
    <n v="0"/>
    <n v="0"/>
    <n v="39"/>
    <n v="0"/>
    <n v="0"/>
    <n v="0"/>
    <n v="8.5432777404785156"/>
    <n v="0"/>
    <n v="0"/>
    <n v="0"/>
    <s v=""/>
    <n v="0"/>
    <s v=""/>
    <n v="703.79998779296875"/>
    <n v="103.80000305175781"/>
    <n v="703.79998779296875"/>
    <n v="703.79998779296875"/>
    <n v="703.79998779296875"/>
    <n v="48"/>
    <n v="751.79998779296875"/>
    <n v="0"/>
    <n v="135.32399780273437"/>
    <n v="887.12398559570306"/>
  </r>
  <r>
    <n v="2025"/>
    <n v="6"/>
    <n v="2"/>
    <n v="757911"/>
    <s v="ROHAN SUDHKAR CHAVANELRD  BREAK"/>
    <s v="TPL CEE"/>
    <s v="EV"/>
    <s v="PUNE"/>
    <x v="4"/>
    <s v="INTEGRATED"/>
    <s v="ELERIDE MOBILITY SOLUTIONS PVT LTD"/>
    <s v="Service Fees"/>
    <s v="BIKE"/>
    <s v="INTEGRATED-IBBN-RC-011702-7"/>
    <s v="7 DAYS"/>
    <n v="236"/>
    <n v="1"/>
    <n v="0"/>
    <n v="165"/>
    <n v="71"/>
    <n v="236"/>
    <n v="7"/>
    <n v="0"/>
    <n v="419.10000610351562"/>
    <n v="25"/>
    <n v="0"/>
    <n v="5925"/>
    <n v="50"/>
    <n v="0"/>
    <n v="0"/>
    <n v="1.9500000476837158"/>
    <n v="3477"/>
    <n v="0"/>
    <n v="0"/>
    <n v="0"/>
    <n v="213"/>
    <n v="0"/>
    <n v="800"/>
    <n v="0"/>
    <n v="52.183334350585938"/>
    <n v="0"/>
    <n v="0"/>
    <n v="0"/>
    <s v=""/>
    <n v="0"/>
    <s v=""/>
    <n v="10466.9501953125"/>
    <n v="4541.9501953125"/>
    <n v="10466.9501953125"/>
    <n v="10466.9501953125"/>
    <n v="10466.9501953125"/>
    <n v="474"/>
    <n v="10940.9501953125"/>
    <n v="0"/>
    <n v="1969.3710351562499"/>
    <n v="12910.321230468749"/>
  </r>
  <r>
    <n v="2025"/>
    <n v="6"/>
    <n v="2"/>
    <n v="763173"/>
    <s v="ADESH KUMAR RAWATELERIDE"/>
    <s v="TPL CEE"/>
    <s v="EV"/>
    <s v="PUNE"/>
    <x v="4"/>
    <s v="INTEGRATED"/>
    <s v="ELERIDE MOBILITY SOLUTIONS PVT LTD"/>
    <s v="Service Fees"/>
    <s v="BIKE"/>
    <s v="INTEGRATED-IBBN-RC-011702-7"/>
    <s v="7 DAYS"/>
    <n v="91"/>
    <n v="0"/>
    <n v="0"/>
    <n v="63"/>
    <n v="28"/>
    <n v="91"/>
    <n v="3"/>
    <n v="0"/>
    <n v="155.33999633789063"/>
    <n v="0"/>
    <n v="0"/>
    <n v="2275"/>
    <n v="0"/>
    <n v="2240"/>
    <n v="0"/>
    <n v="1.5"/>
    <n v="1311"/>
    <n v="0"/>
    <n v="0"/>
    <n v="0"/>
    <n v="90"/>
    <n v="0"/>
    <n v="0"/>
    <n v="0"/>
    <n v="15.854722023010254"/>
    <n v="0"/>
    <n v="0"/>
    <n v="0"/>
    <s v=""/>
    <n v="0"/>
    <s v=""/>
    <n v="5917.5"/>
    <n v="3642.5"/>
    <n v="5917.5"/>
    <n v="5917.5"/>
    <n v="5917.5"/>
    <n v="182"/>
    <n v="6099.5"/>
    <n v="0"/>
    <n v="1097.9099999999999"/>
    <n v="7197.41"/>
  </r>
  <r>
    <n v="2025"/>
    <n v="6"/>
    <n v="2"/>
    <n v="801751"/>
    <s v="SANGAMNAIK"/>
    <s v="TPL CEE"/>
    <s v="LSV"/>
    <s v="PUNE"/>
    <x v="4"/>
    <s v="INTEGRATED"/>
    <s v="ELERIDE MOBILITY SOLUTIONS PVT LTD"/>
    <s v="Service Fees"/>
    <s v="BIKE"/>
    <s v="INTEGRATED-IBBN-RC-011702-7"/>
    <s v="7 DAYS"/>
    <n v="13"/>
    <n v="6"/>
    <n v="0"/>
    <n v="13"/>
    <n v="0"/>
    <n v="13"/>
    <n v="1"/>
    <n v="0"/>
    <n v="35.25"/>
    <n v="150"/>
    <n v="0"/>
    <n v="475"/>
    <n v="30"/>
    <n v="0"/>
    <n v="0"/>
    <n v="0"/>
    <n v="65"/>
    <n v="0"/>
    <n v="0"/>
    <n v="0"/>
    <n v="0"/>
    <n v="0"/>
    <n v="0"/>
    <n v="0"/>
    <n v="7.2862224578857422"/>
    <n v="0"/>
    <n v="0"/>
    <n v="0"/>
    <s v=""/>
    <n v="0"/>
    <s v=""/>
    <n v="570"/>
    <n v="95"/>
    <n v="570"/>
    <n v="570"/>
    <n v="570"/>
    <n v="38"/>
    <n v="608"/>
    <n v="0"/>
    <n v="109.44"/>
    <n v="717.44"/>
  </r>
  <r>
    <n v="2025"/>
    <n v="6"/>
    <n v="2"/>
    <n v="799957"/>
    <s v="PRASHANTSWAMI"/>
    <s v="TPL CEE"/>
    <s v="LSV"/>
    <s v="PUNE"/>
    <x v="5"/>
    <s v="INTEGRATED"/>
    <s v="ELERIDE MOBILITY SOLUTIONS PVT LTD"/>
    <s v="Service Fees"/>
    <s v="BIKE"/>
    <s v="INTEGRATED-IBBN-RC-008558-14"/>
    <s v="7 DAYS"/>
    <n v="52"/>
    <n v="3"/>
    <n v="0"/>
    <n v="38"/>
    <n v="14"/>
    <n v="52"/>
    <n v="5"/>
    <n v="0"/>
    <n v="98.419998168945313"/>
    <n v="75"/>
    <n v="0"/>
    <n v="1375"/>
    <n v="0"/>
    <n v="0"/>
    <n v="0"/>
    <n v="28.5"/>
    <n v="317"/>
    <n v="0"/>
    <n v="0"/>
    <n v="0"/>
    <n v="42"/>
    <n v="0"/>
    <n v="0"/>
    <n v="0"/>
    <n v="18.624555587768555"/>
    <n v="0"/>
    <n v="0"/>
    <n v="0"/>
    <s v=""/>
    <n v="0"/>
    <s v=""/>
    <n v="1762.5"/>
    <n v="387.5"/>
    <n v="1762.5"/>
    <n v="1762.5"/>
    <n v="1762.5"/>
    <n v="110"/>
    <n v="1872.5"/>
    <n v="0"/>
    <n v="337.05"/>
    <n v="2209.5500000000002"/>
  </r>
  <r>
    <n v="2025"/>
    <n v="6"/>
    <n v="2"/>
    <n v="780996"/>
    <s v="GAURAOJAISWAL"/>
    <s v="TPL CEE"/>
    <s v="EV"/>
    <s v="PUNE"/>
    <x v="6"/>
    <s v="INTEGRATED"/>
    <s v="ELERIDE MOBILITY SOLUTIONS PVT LTD"/>
    <s v="Service Fees"/>
    <s v="BIKE"/>
    <s v="INTEGRATED-IBBN-RC-013235-8"/>
    <s v="7 DAYS"/>
    <n v="99"/>
    <n v="2"/>
    <n v="0"/>
    <n v="68"/>
    <n v="31"/>
    <n v="99"/>
    <n v="6"/>
    <n v="0"/>
    <n v="299.45001220703125"/>
    <n v="50"/>
    <n v="0"/>
    <n v="2525"/>
    <n v="10"/>
    <n v="290"/>
    <n v="0"/>
    <n v="510.23001098632812"/>
    <n v="1015"/>
    <n v="0"/>
    <n v="0"/>
    <n v="50"/>
    <n v="93"/>
    <n v="0"/>
    <n v="0"/>
    <n v="0"/>
    <n v="31.165721893310547"/>
    <n v="0"/>
    <n v="0"/>
    <n v="0"/>
    <s v=""/>
    <n v="0"/>
    <s v=""/>
    <n v="4493.22998046875"/>
    <n v="1968.22998046875"/>
    <n v="4493.22998046875"/>
    <n v="4493.22998046875"/>
    <n v="4493.22998046875"/>
    <n v="202"/>
    <n v="4695.22998046875"/>
    <n v="0"/>
    <n v="845.14139648437492"/>
    <n v="5540.371376953125"/>
  </r>
  <r>
    <n v="2025"/>
    <n v="6"/>
    <n v="2"/>
    <n v="803593"/>
    <s v="REKHAKUSALKAR"/>
    <s v="TPL CEE"/>
    <s v="NEV"/>
    <s v="PUNE"/>
    <x v="7"/>
    <s v="INTEGRATED"/>
    <s v="ELERIDE MOBILITY SOLUTIONS PVT LTD"/>
    <s v="Service Fees"/>
    <s v="BIKE"/>
    <s v="INTEGRATED-IBBN-RC-013772-5"/>
    <s v="7 DAYS"/>
    <n v="2"/>
    <n v="0"/>
    <n v="0"/>
    <n v="0"/>
    <n v="2"/>
    <n v="2"/>
    <n v="1"/>
    <n v="0"/>
    <n v="5.4800000190734863"/>
    <n v="0"/>
    <n v="0"/>
    <n v="60"/>
    <n v="0"/>
    <n v="40"/>
    <n v="0"/>
    <n v="2.2999999523162842"/>
    <n v="0"/>
    <n v="0"/>
    <n v="0"/>
    <n v="0"/>
    <n v="6"/>
    <n v="0"/>
    <n v="0"/>
    <n v="0"/>
    <n v="1.7156111001968384"/>
    <n v="0"/>
    <n v="0"/>
    <n v="0"/>
    <s v=""/>
    <n v="0"/>
    <s v=""/>
    <n v="108.30000305175781"/>
    <n v="48.299999237060547"/>
    <n v="108.30000305175781"/>
    <n v="108.30000305175781"/>
    <n v="108.30000305175781"/>
    <n v="4.8"/>
    <n v="113.10000305175781"/>
    <n v="0"/>
    <n v="20.358000549316404"/>
    <n v="133.45800360107421"/>
  </r>
  <r>
    <n v="2025"/>
    <n v="6"/>
    <n v="2"/>
    <n v="756144"/>
    <s v="SACHIN NAYASE7350987782"/>
    <s v="TPL CEE"/>
    <s v="NEV"/>
    <s v="PUNE"/>
    <x v="8"/>
    <s v="INTEGRATED"/>
    <s v="ELERIDE MOBILITY SOLUTIONS PVT LTD"/>
    <s v="Service Fees"/>
    <s v="BIKE"/>
    <s v="INTEGRATED-IBBN-RC-009587-15"/>
    <s v="7 DAYS"/>
    <n v="161"/>
    <n v="4"/>
    <n v="4"/>
    <n v="107"/>
    <n v="54"/>
    <n v="165"/>
    <n v="7"/>
    <n v="0"/>
    <n v="343.45001220703125"/>
    <n v="120"/>
    <n v="120"/>
    <n v="5070"/>
    <n v="220"/>
    <n v="0"/>
    <n v="0"/>
    <n v="75.5"/>
    <n v="2226"/>
    <n v="0"/>
    <n v="0"/>
    <n v="0"/>
    <n v="165"/>
    <n v="0"/>
    <n v="500"/>
    <n v="0"/>
    <n v="54"/>
    <n v="0"/>
    <n v="0"/>
    <n v="0"/>
    <s v=""/>
    <n v="0"/>
    <s v=""/>
    <n v="8256.5"/>
    <n v="3186.5"/>
    <n v="8256.5"/>
    <n v="8256.5"/>
    <n v="8256.5"/>
    <n v="405.6"/>
    <n v="8662.1"/>
    <n v="0"/>
    <n v="1559.1780000000001"/>
    <n v="10221.278"/>
  </r>
  <r>
    <n v="2025"/>
    <n v="6"/>
    <n v="2"/>
    <n v="786490"/>
    <s v="SANTOSH NAYASE7517557492"/>
    <s v="TPL CEE"/>
    <s v="LSV"/>
    <s v="PUNE"/>
    <x v="8"/>
    <s v="INTEGRATED"/>
    <s v="ELERIDE MOBILITY SOLUTIONS PVT LTD"/>
    <s v="Service Fees"/>
    <s v="BIKE"/>
    <s v="INTEGRATED-IBBN-RC-009586-14"/>
    <s v="7 DAYS"/>
    <n v="173"/>
    <n v="2"/>
    <n v="0"/>
    <n v="127"/>
    <n v="46"/>
    <n v="173"/>
    <n v="7"/>
    <n v="0"/>
    <n v="336.75"/>
    <n v="50"/>
    <n v="0"/>
    <n v="4375"/>
    <n v="250"/>
    <n v="0"/>
    <n v="0"/>
    <n v="77.75"/>
    <n v="2260"/>
    <n v="0"/>
    <n v="0"/>
    <n v="0"/>
    <n v="141"/>
    <n v="0"/>
    <n v="500"/>
    <n v="0"/>
    <n v="51.002109527587891"/>
    <n v="0"/>
    <n v="0"/>
    <n v="0"/>
    <s v=""/>
    <n v="0"/>
    <s v=""/>
    <n v="7603.75"/>
    <n v="3228.75"/>
    <n v="7603.75"/>
    <n v="7603.75"/>
    <n v="7603.75"/>
    <n v="350"/>
    <n v="7953.75"/>
    <n v="0"/>
    <n v="1431.675"/>
    <n v="9385.4249999999993"/>
  </r>
  <r>
    <m/>
    <m/>
    <m/>
    <m/>
    <m/>
    <m/>
    <m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E14" firstHeaderRow="0" firstDataRow="1" firstDataCol="1"/>
  <pivotFields count="5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elivered_orders" fld="15" baseField="8" baseItem="0"/>
    <dataField name="Sum of total_with_arrears_and_deductions" fld="50" baseField="8" baseItem="0"/>
    <dataField name="Sum of management_fee" fld="51" baseField="8" baseItem="0"/>
    <dataField name="Sum of total_with_management_fee" fld="52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9"/>
  <sheetViews>
    <sheetView topLeftCell="A12" workbookViewId="0">
      <selection activeCell="C30" sqref="C30"/>
    </sheetView>
  </sheetViews>
  <sheetFormatPr defaultRowHeight="14.25"/>
  <cols>
    <col min="1" max="1" width="27" bestFit="1" customWidth="1"/>
    <col min="2" max="2" width="15" customWidth="1"/>
    <col min="3" max="3" width="19.25" customWidth="1"/>
    <col min="4" max="4" width="15.75" customWidth="1"/>
    <col min="5" max="5" width="24" customWidth="1"/>
  </cols>
  <sheetData>
    <row r="3" spans="1:5">
      <c r="A3" s="10" t="s">
        <v>116</v>
      </c>
      <c r="B3" t="s">
        <v>119</v>
      </c>
      <c r="C3" t="s">
        <v>120</v>
      </c>
      <c r="D3" t="s">
        <v>121</v>
      </c>
      <c r="E3" t="s">
        <v>122</v>
      </c>
    </row>
    <row r="4" spans="1:5">
      <c r="A4" s="11" t="s">
        <v>60</v>
      </c>
      <c r="B4" s="12">
        <v>497</v>
      </c>
      <c r="C4" s="12">
        <v>24623.999389648438</v>
      </c>
      <c r="D4" s="12">
        <v>1078.8</v>
      </c>
      <c r="E4" s="12">
        <v>25702.799389648437</v>
      </c>
    </row>
    <row r="5" spans="1:5">
      <c r="A5" s="11" t="s">
        <v>81</v>
      </c>
      <c r="B5" s="12">
        <v>112</v>
      </c>
      <c r="C5" s="12">
        <v>5419.35009765625</v>
      </c>
      <c r="D5" s="12">
        <v>271.2</v>
      </c>
      <c r="E5" s="12">
        <v>5690.5500976562498</v>
      </c>
    </row>
    <row r="6" spans="1:5">
      <c r="A6" s="11" t="s">
        <v>84</v>
      </c>
      <c r="B6" s="12">
        <v>289</v>
      </c>
      <c r="C6" s="12">
        <v>20033.35009765625</v>
      </c>
      <c r="D6" s="12">
        <v>655.6</v>
      </c>
      <c r="E6" s="12">
        <v>20688.950097656249</v>
      </c>
    </row>
    <row r="7" spans="1:5">
      <c r="A7" s="11" t="s">
        <v>90</v>
      </c>
      <c r="B7" s="12">
        <v>19</v>
      </c>
      <c r="C7" s="12">
        <v>703.79998779296875</v>
      </c>
      <c r="D7" s="12">
        <v>48</v>
      </c>
      <c r="E7" s="12">
        <v>751.79998779296875</v>
      </c>
    </row>
    <row r="8" spans="1:5">
      <c r="A8" s="11" t="s">
        <v>93</v>
      </c>
      <c r="B8" s="12">
        <v>340</v>
      </c>
      <c r="C8" s="12">
        <v>16954.4501953125</v>
      </c>
      <c r="D8" s="12">
        <v>694</v>
      </c>
      <c r="E8" s="12">
        <v>17648.4501953125</v>
      </c>
    </row>
    <row r="9" spans="1:5">
      <c r="A9" s="11" t="s">
        <v>98</v>
      </c>
      <c r="B9" s="12">
        <v>52</v>
      </c>
      <c r="C9" s="12">
        <v>1762.5</v>
      </c>
      <c r="D9" s="12">
        <v>110</v>
      </c>
      <c r="E9" s="12">
        <v>1872.5</v>
      </c>
    </row>
    <row r="10" spans="1:5">
      <c r="A10" s="11" t="s">
        <v>101</v>
      </c>
      <c r="B10" s="12">
        <v>99</v>
      </c>
      <c r="C10" s="12">
        <v>4493.22998046875</v>
      </c>
      <c r="D10" s="12">
        <v>202</v>
      </c>
      <c r="E10" s="12">
        <v>4695.22998046875</v>
      </c>
    </row>
    <row r="11" spans="1:5">
      <c r="A11" s="11" t="s">
        <v>104</v>
      </c>
      <c r="B11" s="12">
        <v>2</v>
      </c>
      <c r="C11" s="12">
        <v>108.30000305175781</v>
      </c>
      <c r="D11" s="12">
        <v>4.8</v>
      </c>
      <c r="E11" s="12">
        <v>113.10000305175781</v>
      </c>
    </row>
    <row r="12" spans="1:5">
      <c r="A12" s="11" t="s">
        <v>107</v>
      </c>
      <c r="B12" s="12">
        <v>334</v>
      </c>
      <c r="C12" s="12">
        <v>15860.25</v>
      </c>
      <c r="D12" s="12">
        <v>755.6</v>
      </c>
      <c r="E12" s="12">
        <v>16615.849999999999</v>
      </c>
    </row>
    <row r="13" spans="1:5">
      <c r="A13" s="11" t="s">
        <v>117</v>
      </c>
      <c r="B13" s="12"/>
      <c r="C13" s="12"/>
      <c r="D13" s="12"/>
      <c r="E13" s="12"/>
    </row>
    <row r="14" spans="1:5">
      <c r="A14" s="11" t="s">
        <v>118</v>
      </c>
      <c r="B14" s="12">
        <v>1744</v>
      </c>
      <c r="C14" s="12">
        <v>89959.229751586914</v>
      </c>
      <c r="D14" s="12">
        <v>3820</v>
      </c>
      <c r="E14" s="12">
        <v>93779.229751586914</v>
      </c>
    </row>
    <row r="17" spans="1:9">
      <c r="A17" s="13"/>
      <c r="B17" s="13"/>
      <c r="C17" s="13"/>
      <c r="D17" s="13"/>
      <c r="E17" s="13"/>
    </row>
    <row r="18" spans="1:9" ht="28.5" customHeight="1">
      <c r="A18" s="15" t="s">
        <v>116</v>
      </c>
      <c r="B18" s="15" t="s">
        <v>119</v>
      </c>
      <c r="C18" s="15" t="s">
        <v>123</v>
      </c>
      <c r="D18" s="15" t="s">
        <v>121</v>
      </c>
      <c r="E18" s="15" t="s">
        <v>122</v>
      </c>
    </row>
    <row r="19" spans="1:9">
      <c r="A19" s="16" t="s">
        <v>60</v>
      </c>
      <c r="B19" s="17">
        <v>497</v>
      </c>
      <c r="C19" s="17">
        <v>24623.999389648438</v>
      </c>
      <c r="D19" s="17">
        <v>1078.8</v>
      </c>
      <c r="E19" s="17">
        <v>25702.799389648437</v>
      </c>
      <c r="G19" s="18">
        <v>24623.999389648438</v>
      </c>
      <c r="H19" s="19"/>
      <c r="I19" s="19"/>
    </row>
    <row r="20" spans="1:9">
      <c r="A20" s="16" t="s">
        <v>81</v>
      </c>
      <c r="B20" s="17">
        <v>112</v>
      </c>
      <c r="C20" s="17">
        <v>5419.35009765625</v>
      </c>
      <c r="D20" s="17">
        <v>271.2</v>
      </c>
      <c r="E20" s="17">
        <v>5690.5500976562498</v>
      </c>
      <c r="G20" s="18">
        <v>5419.35009765625</v>
      </c>
      <c r="H20" s="19"/>
      <c r="I20" s="19"/>
    </row>
    <row r="21" spans="1:9">
      <c r="A21" s="16" t="s">
        <v>84</v>
      </c>
      <c r="B21" s="17">
        <v>289</v>
      </c>
      <c r="C21" s="17">
        <v>20033.35009765625</v>
      </c>
      <c r="D21" s="17">
        <v>655.6</v>
      </c>
      <c r="E21" s="17">
        <v>20688.950097656249</v>
      </c>
      <c r="G21" s="18">
        <v>20033.35009765625</v>
      </c>
      <c r="H21" s="19"/>
      <c r="I21" s="19"/>
    </row>
    <row r="22" spans="1:9">
      <c r="A22" s="16" t="s">
        <v>90</v>
      </c>
      <c r="B22" s="17">
        <v>19</v>
      </c>
      <c r="C22" s="17">
        <v>703.79998779296875</v>
      </c>
      <c r="D22" s="17">
        <v>48</v>
      </c>
      <c r="E22" s="17">
        <v>751.79998779296875</v>
      </c>
      <c r="G22" s="18">
        <v>703.79998779296875</v>
      </c>
      <c r="H22" s="19"/>
      <c r="I22" s="19"/>
    </row>
    <row r="23" spans="1:9">
      <c r="A23" s="16" t="s">
        <v>93</v>
      </c>
      <c r="B23" s="17">
        <v>340</v>
      </c>
      <c r="C23" s="17">
        <v>16954.4501953125</v>
      </c>
      <c r="D23" s="17">
        <v>694</v>
      </c>
      <c r="E23" s="17">
        <v>17648.4501953125</v>
      </c>
      <c r="G23" s="18">
        <v>16954.4501953125</v>
      </c>
      <c r="H23" s="19"/>
      <c r="I23" s="19"/>
    </row>
    <row r="24" spans="1:9">
      <c r="A24" s="16" t="s">
        <v>98</v>
      </c>
      <c r="B24" s="17">
        <v>52</v>
      </c>
      <c r="C24" s="17">
        <v>1762.5</v>
      </c>
      <c r="D24" s="17">
        <v>110</v>
      </c>
      <c r="E24" s="17">
        <v>1872.5</v>
      </c>
      <c r="G24" s="18">
        <v>1762.5</v>
      </c>
      <c r="H24" s="19"/>
      <c r="I24" s="19"/>
    </row>
    <row r="25" spans="1:9">
      <c r="A25" s="16" t="s">
        <v>101</v>
      </c>
      <c r="B25" s="17">
        <v>99</v>
      </c>
      <c r="C25" s="17">
        <v>4493.22998046875</v>
      </c>
      <c r="D25" s="17">
        <v>202</v>
      </c>
      <c r="E25" s="17">
        <v>4695.22998046875</v>
      </c>
      <c r="G25" s="18">
        <v>4493.22998046875</v>
      </c>
      <c r="H25" s="19"/>
      <c r="I25" s="19"/>
    </row>
    <row r="26" spans="1:9">
      <c r="A26" s="16" t="s">
        <v>104</v>
      </c>
      <c r="B26" s="17">
        <v>2</v>
      </c>
      <c r="C26" s="17">
        <v>108.30000305175781</v>
      </c>
      <c r="D26" s="17">
        <v>4.8</v>
      </c>
      <c r="E26" s="17">
        <v>113.10000305175781</v>
      </c>
      <c r="G26" s="18">
        <v>108.30000305175781</v>
      </c>
      <c r="H26" s="19"/>
      <c r="I26" s="19"/>
    </row>
    <row r="27" spans="1:9">
      <c r="A27" s="16" t="s">
        <v>107</v>
      </c>
      <c r="B27" s="17">
        <v>334</v>
      </c>
      <c r="C27" s="17">
        <v>15860.25</v>
      </c>
      <c r="D27" s="17">
        <v>755.6</v>
      </c>
      <c r="E27" s="17">
        <v>16615.849999999999</v>
      </c>
      <c r="G27" s="18">
        <v>15860.25</v>
      </c>
      <c r="H27" s="19"/>
      <c r="I27" s="19"/>
    </row>
    <row r="28" spans="1:9" ht="15">
      <c r="A28" s="14" t="s">
        <v>117</v>
      </c>
      <c r="B28" s="14"/>
      <c r="C28" s="14"/>
      <c r="D28" s="14"/>
      <c r="E28" s="14"/>
    </row>
    <row r="29" spans="1:9" ht="15">
      <c r="A29" s="14" t="s">
        <v>118</v>
      </c>
      <c r="B29" s="14">
        <v>1744</v>
      </c>
      <c r="C29" s="14">
        <v>89959.229751586914</v>
      </c>
      <c r="D29" s="14">
        <v>3820</v>
      </c>
      <c r="E29" s="14">
        <v>93779.229751586914</v>
      </c>
    </row>
  </sheetData>
  <mergeCells count="9">
    <mergeCell ref="G25:I25"/>
    <mergeCell ref="G26:I26"/>
    <mergeCell ref="G27:I27"/>
    <mergeCell ref="G19:I19"/>
    <mergeCell ref="G20:I20"/>
    <mergeCell ref="G21:I21"/>
    <mergeCell ref="G22:I22"/>
    <mergeCell ref="G23:I23"/>
    <mergeCell ref="G24:I24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Q1" workbookViewId="0">
      <selection activeCell="AH7" sqref="AH7"/>
    </sheetView>
  </sheetViews>
  <sheetFormatPr defaultRowHeight="14.25"/>
  <cols>
    <col min="5" max="5" width="37.5" bestFit="1" customWidth="1"/>
  </cols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2025</v>
      </c>
      <c r="B2" s="2">
        <v>6</v>
      </c>
      <c r="C2" s="2">
        <v>2</v>
      </c>
      <c r="D2" s="2">
        <v>735193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  <c r="M2" s="1" t="s">
        <v>64</v>
      </c>
      <c r="N2" s="1" t="s">
        <v>65</v>
      </c>
      <c r="O2" s="1" t="s">
        <v>66</v>
      </c>
      <c r="P2" s="2">
        <v>44</v>
      </c>
      <c r="Q2" s="2">
        <v>1</v>
      </c>
      <c r="R2" s="2">
        <v>0</v>
      </c>
      <c r="S2" s="2">
        <v>35</v>
      </c>
      <c r="T2" s="2">
        <v>9</v>
      </c>
      <c r="U2" s="2">
        <v>44</v>
      </c>
      <c r="V2" s="2">
        <v>4</v>
      </c>
      <c r="W2" s="2">
        <v>0</v>
      </c>
      <c r="X2" s="3">
        <v>110.01999664306641</v>
      </c>
      <c r="Y2" s="2">
        <v>25</v>
      </c>
      <c r="Z2" s="2">
        <v>0</v>
      </c>
      <c r="AA2" s="2">
        <v>1125</v>
      </c>
      <c r="AB2" s="2">
        <v>0</v>
      </c>
      <c r="AC2" s="2">
        <v>0</v>
      </c>
      <c r="AD2" s="2">
        <v>0</v>
      </c>
      <c r="AE2" s="3">
        <v>27.950000762939453</v>
      </c>
      <c r="AF2" s="2">
        <v>252</v>
      </c>
      <c r="AG2" s="2">
        <v>0</v>
      </c>
      <c r="AH2" s="2">
        <v>0</v>
      </c>
      <c r="AI2" s="2">
        <v>0</v>
      </c>
      <c r="AJ2" s="2">
        <v>27</v>
      </c>
      <c r="AK2" s="2">
        <v>0</v>
      </c>
      <c r="AL2" s="2">
        <v>0</v>
      </c>
      <c r="AM2" s="2">
        <v>0</v>
      </c>
      <c r="AN2" s="3">
        <v>11.72005558013916</v>
      </c>
      <c r="AO2" s="2">
        <v>0</v>
      </c>
      <c r="AP2" s="2">
        <v>0</v>
      </c>
      <c r="AQ2" s="2">
        <v>235</v>
      </c>
      <c r="AR2" s="1" t="s">
        <v>67</v>
      </c>
      <c r="AS2" s="2">
        <v>0</v>
      </c>
      <c r="AT2" s="1" t="s">
        <v>68</v>
      </c>
      <c r="AU2" s="3">
        <v>1431.949951171875</v>
      </c>
      <c r="AV2" s="3">
        <v>306.95001220703125</v>
      </c>
      <c r="AW2" s="3">
        <v>1431.949951171875</v>
      </c>
      <c r="AX2" s="3">
        <v>1666.949951171875</v>
      </c>
      <c r="AY2" s="3">
        <v>1666.949951171875</v>
      </c>
      <c r="AZ2" s="3">
        <v>90</v>
      </c>
      <c r="BA2" s="3">
        <v>1756.949951171875</v>
      </c>
      <c r="BB2" s="2">
        <v>0</v>
      </c>
      <c r="BC2" s="3">
        <v>316.25099121093751</v>
      </c>
      <c r="BD2" s="3">
        <v>2073.2009423828126</v>
      </c>
    </row>
    <row r="3" spans="1:56">
      <c r="A3" s="2">
        <v>2025</v>
      </c>
      <c r="B3" s="2">
        <v>6</v>
      </c>
      <c r="C3" s="2">
        <v>2</v>
      </c>
      <c r="D3" s="2">
        <v>744645</v>
      </c>
      <c r="E3" s="1" t="s">
        <v>69</v>
      </c>
      <c r="F3" s="1" t="s">
        <v>57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62</v>
      </c>
      <c r="L3" s="1" t="s">
        <v>63</v>
      </c>
      <c r="M3" s="1" t="s">
        <v>64</v>
      </c>
      <c r="N3" s="1" t="s">
        <v>70</v>
      </c>
      <c r="O3" s="1" t="s">
        <v>66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499</v>
      </c>
      <c r="AR3" s="1" t="s">
        <v>67</v>
      </c>
      <c r="AS3" s="2">
        <v>0</v>
      </c>
      <c r="AT3" s="1" t="s">
        <v>68</v>
      </c>
      <c r="AU3" s="2">
        <v>0</v>
      </c>
      <c r="AV3" s="2">
        <v>0</v>
      </c>
      <c r="AW3" s="2">
        <v>0</v>
      </c>
      <c r="AX3" s="2">
        <v>499</v>
      </c>
      <c r="AY3" s="2">
        <v>499</v>
      </c>
      <c r="AZ3" s="3">
        <v>0</v>
      </c>
      <c r="BA3" s="3">
        <v>499</v>
      </c>
      <c r="BB3" s="2">
        <v>0</v>
      </c>
      <c r="BC3" s="3">
        <v>89.82</v>
      </c>
      <c r="BD3" s="3">
        <v>588.81999999999994</v>
      </c>
    </row>
    <row r="4" spans="1:56">
      <c r="A4" s="2">
        <v>2025</v>
      </c>
      <c r="B4" s="2">
        <v>6</v>
      </c>
      <c r="C4" s="2">
        <v>2</v>
      </c>
      <c r="D4" s="2">
        <v>753406</v>
      </c>
      <c r="E4" s="1" t="s">
        <v>71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 t="s">
        <v>65</v>
      </c>
      <c r="O4" s="1" t="s">
        <v>66</v>
      </c>
      <c r="P4" s="2">
        <v>101</v>
      </c>
      <c r="Q4" s="2">
        <v>3</v>
      </c>
      <c r="R4" s="2">
        <v>0</v>
      </c>
      <c r="S4" s="2">
        <v>74</v>
      </c>
      <c r="T4" s="2">
        <v>27</v>
      </c>
      <c r="U4" s="2">
        <v>101</v>
      </c>
      <c r="V4" s="2">
        <v>5</v>
      </c>
      <c r="W4" s="2">
        <v>0</v>
      </c>
      <c r="X4" s="3">
        <v>230.19000244140625</v>
      </c>
      <c r="Y4" s="2">
        <v>75</v>
      </c>
      <c r="Z4" s="2">
        <v>0</v>
      </c>
      <c r="AA4" s="2">
        <v>2600</v>
      </c>
      <c r="AB4" s="2">
        <v>130</v>
      </c>
      <c r="AC4" s="2">
        <v>300</v>
      </c>
      <c r="AD4" s="2">
        <v>0</v>
      </c>
      <c r="AE4" s="3">
        <v>50.549999237060547</v>
      </c>
      <c r="AF4" s="2">
        <v>1216</v>
      </c>
      <c r="AG4" s="2">
        <v>0</v>
      </c>
      <c r="AH4" s="2">
        <v>0</v>
      </c>
      <c r="AI4" s="2">
        <v>0</v>
      </c>
      <c r="AJ4" s="2">
        <v>84</v>
      </c>
      <c r="AK4" s="2">
        <v>0</v>
      </c>
      <c r="AL4" s="2">
        <v>0</v>
      </c>
      <c r="AM4" s="2">
        <v>0</v>
      </c>
      <c r="AN4" s="3">
        <v>38.522945404052734</v>
      </c>
      <c r="AO4" s="2">
        <v>0</v>
      </c>
      <c r="AP4" s="2">
        <v>0</v>
      </c>
      <c r="AQ4" s="2">
        <v>1668</v>
      </c>
      <c r="AR4" s="1" t="s">
        <v>67</v>
      </c>
      <c r="AS4" s="2">
        <v>0</v>
      </c>
      <c r="AT4" s="1" t="s">
        <v>68</v>
      </c>
      <c r="AU4" s="3">
        <v>4380.5498046875</v>
      </c>
      <c r="AV4" s="3">
        <v>1780.550048828125</v>
      </c>
      <c r="AW4" s="3">
        <v>4380.5498046875</v>
      </c>
      <c r="AX4" s="3">
        <v>6048.5498046875</v>
      </c>
      <c r="AY4" s="3">
        <v>6048.5498046875</v>
      </c>
      <c r="AZ4" s="3">
        <v>208</v>
      </c>
      <c r="BA4" s="3">
        <v>6256.5498046875</v>
      </c>
      <c r="BB4" s="2">
        <v>0</v>
      </c>
      <c r="BC4" s="3">
        <v>1126.17896484375</v>
      </c>
      <c r="BD4" s="3">
        <v>7382.7287695312498</v>
      </c>
    </row>
    <row r="5" spans="1:56">
      <c r="A5" s="2">
        <v>2025</v>
      </c>
      <c r="B5" s="2">
        <v>6</v>
      </c>
      <c r="C5" s="2">
        <v>2</v>
      </c>
      <c r="D5" s="2">
        <v>784832</v>
      </c>
      <c r="E5" s="1" t="s">
        <v>72</v>
      </c>
      <c r="F5" s="1" t="s">
        <v>57</v>
      </c>
      <c r="G5" s="1" t="s">
        <v>73</v>
      </c>
      <c r="H5" s="1" t="s">
        <v>59</v>
      </c>
      <c r="I5" s="1" t="s">
        <v>60</v>
      </c>
      <c r="J5" s="1" t="s">
        <v>61</v>
      </c>
      <c r="K5" s="1" t="s">
        <v>62</v>
      </c>
      <c r="L5" s="1" t="s">
        <v>63</v>
      </c>
      <c r="M5" s="1" t="s">
        <v>64</v>
      </c>
      <c r="N5" s="1" t="s">
        <v>74</v>
      </c>
      <c r="O5" s="1" t="s">
        <v>66</v>
      </c>
      <c r="P5" s="2">
        <v>165</v>
      </c>
      <c r="Q5" s="2">
        <v>2</v>
      </c>
      <c r="R5" s="2">
        <v>0</v>
      </c>
      <c r="S5" s="2">
        <v>132</v>
      </c>
      <c r="T5" s="2">
        <v>33</v>
      </c>
      <c r="U5" s="2">
        <v>165</v>
      </c>
      <c r="V5" s="2">
        <v>7</v>
      </c>
      <c r="W5" s="2">
        <v>0</v>
      </c>
      <c r="X5" s="3">
        <v>391.44000244140625</v>
      </c>
      <c r="Y5" s="2">
        <v>60</v>
      </c>
      <c r="Z5" s="2">
        <v>0</v>
      </c>
      <c r="AA5" s="2">
        <v>5010</v>
      </c>
      <c r="AB5" s="2">
        <v>70</v>
      </c>
      <c r="AC5" s="2">
        <v>400</v>
      </c>
      <c r="AD5" s="2">
        <v>0</v>
      </c>
      <c r="AE5" s="3">
        <v>114.55000305175781</v>
      </c>
      <c r="AF5" s="2">
        <v>2235</v>
      </c>
      <c r="AG5" s="2">
        <v>0</v>
      </c>
      <c r="AH5" s="2">
        <v>0</v>
      </c>
      <c r="AI5" s="2">
        <v>0</v>
      </c>
      <c r="AJ5" s="2">
        <v>105</v>
      </c>
      <c r="AK5" s="2">
        <v>0</v>
      </c>
      <c r="AL5" s="2">
        <v>500</v>
      </c>
      <c r="AM5" s="2">
        <v>0</v>
      </c>
      <c r="AN5" s="3">
        <v>46.889110565185547</v>
      </c>
      <c r="AO5" s="2">
        <v>300</v>
      </c>
      <c r="AP5" s="2">
        <v>1</v>
      </c>
      <c r="AQ5" s="2">
        <v>0</v>
      </c>
      <c r="AR5" s="1" t="s">
        <v>68</v>
      </c>
      <c r="AS5" s="2">
        <v>40</v>
      </c>
      <c r="AT5" s="1" t="s">
        <v>75</v>
      </c>
      <c r="AU5" s="3">
        <v>8434.5498046875</v>
      </c>
      <c r="AV5" s="3">
        <v>3424.550048828125</v>
      </c>
      <c r="AW5" s="3">
        <v>8734.5498046875</v>
      </c>
      <c r="AX5" s="3">
        <v>8734.5498046875</v>
      </c>
      <c r="AY5" s="3">
        <v>8694.5498046875</v>
      </c>
      <c r="AZ5" s="3">
        <v>400.8</v>
      </c>
      <c r="BA5" s="3">
        <v>9095.3498046874993</v>
      </c>
      <c r="BB5" s="2">
        <v>0</v>
      </c>
      <c r="BC5" s="3">
        <v>1637.1629648437497</v>
      </c>
      <c r="BD5" s="3">
        <v>10732.512769531249</v>
      </c>
    </row>
    <row r="6" spans="1:56">
      <c r="A6" s="2">
        <v>2025</v>
      </c>
      <c r="B6" s="2">
        <v>6</v>
      </c>
      <c r="C6" s="2">
        <v>2</v>
      </c>
      <c r="D6" s="2">
        <v>799654</v>
      </c>
      <c r="E6" s="1" t="s">
        <v>76</v>
      </c>
      <c r="F6" s="1" t="s">
        <v>57</v>
      </c>
      <c r="G6" s="1" t="s">
        <v>77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63</v>
      </c>
      <c r="M6" s="1" t="s">
        <v>64</v>
      </c>
      <c r="N6" s="1" t="s">
        <v>65</v>
      </c>
      <c r="O6" s="1" t="s">
        <v>66</v>
      </c>
      <c r="P6" s="2">
        <v>148</v>
      </c>
      <c r="Q6" s="2">
        <v>1</v>
      </c>
      <c r="R6" s="2">
        <v>0</v>
      </c>
      <c r="S6" s="2">
        <v>96</v>
      </c>
      <c r="T6" s="2">
        <v>52</v>
      </c>
      <c r="U6" s="2">
        <v>148</v>
      </c>
      <c r="V6" s="2">
        <v>7</v>
      </c>
      <c r="W6" s="2">
        <v>0</v>
      </c>
      <c r="X6" s="3">
        <v>345.64999389648437</v>
      </c>
      <c r="Y6" s="2">
        <v>25</v>
      </c>
      <c r="Z6" s="2">
        <v>0</v>
      </c>
      <c r="AA6" s="2">
        <v>3725</v>
      </c>
      <c r="AB6" s="2">
        <v>115</v>
      </c>
      <c r="AC6" s="2">
        <v>50</v>
      </c>
      <c r="AD6" s="2">
        <v>0</v>
      </c>
      <c r="AE6" s="3">
        <v>99.800003051757813</v>
      </c>
      <c r="AF6" s="2">
        <v>1857</v>
      </c>
      <c r="AG6" s="2">
        <v>0</v>
      </c>
      <c r="AH6" s="2">
        <v>0</v>
      </c>
      <c r="AI6" s="2">
        <v>0</v>
      </c>
      <c r="AJ6" s="2">
        <v>156</v>
      </c>
      <c r="AK6" s="2">
        <v>0</v>
      </c>
      <c r="AL6" s="2">
        <v>250</v>
      </c>
      <c r="AM6" s="2">
        <v>0</v>
      </c>
      <c r="AN6" s="3">
        <v>50.313610076904297</v>
      </c>
      <c r="AO6" s="2">
        <v>0</v>
      </c>
      <c r="AP6" s="2">
        <v>0</v>
      </c>
      <c r="AQ6" s="2">
        <v>358</v>
      </c>
      <c r="AR6" s="1" t="s">
        <v>67</v>
      </c>
      <c r="AS6" s="3">
        <v>41.25</v>
      </c>
      <c r="AT6" s="1" t="s">
        <v>75</v>
      </c>
      <c r="AU6" s="3">
        <v>6252.7998046875</v>
      </c>
      <c r="AV6" s="3">
        <v>2527.800048828125</v>
      </c>
      <c r="AW6" s="3">
        <v>6252.7998046875</v>
      </c>
      <c r="AX6" s="3">
        <v>6610.7998046875</v>
      </c>
      <c r="AY6" s="3">
        <v>6569.5498046875</v>
      </c>
      <c r="AZ6" s="3">
        <v>298</v>
      </c>
      <c r="BA6" s="3">
        <v>6867.5498046875</v>
      </c>
      <c r="BB6" s="2">
        <v>0</v>
      </c>
      <c r="BC6" s="3">
        <v>1236.15896484375</v>
      </c>
      <c r="BD6" s="3">
        <v>8103.7087695312503</v>
      </c>
    </row>
    <row r="7" spans="1:56">
      <c r="A7" s="2">
        <v>2025</v>
      </c>
      <c r="B7" s="2">
        <v>6</v>
      </c>
      <c r="C7" s="2">
        <v>2</v>
      </c>
      <c r="D7" s="2">
        <v>801066</v>
      </c>
      <c r="E7" s="1" t="s">
        <v>78</v>
      </c>
      <c r="F7" s="1" t="s">
        <v>57</v>
      </c>
      <c r="G7" s="1" t="s">
        <v>77</v>
      </c>
      <c r="H7" s="1" t="s">
        <v>59</v>
      </c>
      <c r="I7" s="1" t="s">
        <v>60</v>
      </c>
      <c r="J7" s="1" t="s">
        <v>61</v>
      </c>
      <c r="K7" s="1" t="s">
        <v>62</v>
      </c>
      <c r="L7" s="1" t="s">
        <v>63</v>
      </c>
      <c r="M7" s="1" t="s">
        <v>64</v>
      </c>
      <c r="N7" s="1" t="s">
        <v>65</v>
      </c>
      <c r="O7" s="1" t="s">
        <v>66</v>
      </c>
      <c r="P7" s="2">
        <v>34</v>
      </c>
      <c r="Q7" s="2">
        <v>2</v>
      </c>
      <c r="R7" s="2">
        <v>0</v>
      </c>
      <c r="S7" s="2">
        <v>31</v>
      </c>
      <c r="T7" s="2">
        <v>3</v>
      </c>
      <c r="U7" s="2">
        <v>34</v>
      </c>
      <c r="V7" s="2">
        <v>5</v>
      </c>
      <c r="W7" s="2">
        <v>0</v>
      </c>
      <c r="X7" s="3">
        <v>85.980003356933594</v>
      </c>
      <c r="Y7" s="2">
        <v>50</v>
      </c>
      <c r="Z7" s="2">
        <v>0</v>
      </c>
      <c r="AA7" s="2">
        <v>900</v>
      </c>
      <c r="AB7" s="2">
        <v>0</v>
      </c>
      <c r="AC7" s="2">
        <v>0</v>
      </c>
      <c r="AD7" s="2">
        <v>0</v>
      </c>
      <c r="AE7" s="3">
        <v>32.650001525878906</v>
      </c>
      <c r="AF7" s="2">
        <v>60</v>
      </c>
      <c r="AG7" s="2">
        <v>0</v>
      </c>
      <c r="AH7" s="2">
        <v>0</v>
      </c>
      <c r="AI7" s="2">
        <v>0</v>
      </c>
      <c r="AJ7" s="2">
        <v>9</v>
      </c>
      <c r="AK7" s="2">
        <v>0</v>
      </c>
      <c r="AL7" s="2">
        <v>0</v>
      </c>
      <c r="AM7" s="2">
        <v>0</v>
      </c>
      <c r="AN7" s="3">
        <v>22.543388366699219</v>
      </c>
      <c r="AO7" s="2">
        <v>0</v>
      </c>
      <c r="AP7" s="2">
        <v>0</v>
      </c>
      <c r="AQ7" s="2">
        <v>0</v>
      </c>
      <c r="AR7" s="1" t="s">
        <v>68</v>
      </c>
      <c r="AS7" s="2">
        <v>0</v>
      </c>
      <c r="AT7" s="1" t="s">
        <v>68</v>
      </c>
      <c r="AU7" s="3">
        <v>1001.6500244140625</v>
      </c>
      <c r="AV7" s="3">
        <v>101.65000152587891</v>
      </c>
      <c r="AW7" s="3">
        <v>1001.6500244140625</v>
      </c>
      <c r="AX7" s="3">
        <v>1001.6500244140625</v>
      </c>
      <c r="AY7" s="3">
        <v>1001.6500244140625</v>
      </c>
      <c r="AZ7" s="3">
        <v>72</v>
      </c>
      <c r="BA7" s="3">
        <v>1073.6500244140625</v>
      </c>
      <c r="BB7" s="2">
        <v>0</v>
      </c>
      <c r="BC7" s="3">
        <v>193.25700439453124</v>
      </c>
      <c r="BD7" s="3">
        <v>1266.9070288085936</v>
      </c>
    </row>
    <row r="8" spans="1:56">
      <c r="A8" s="2">
        <v>2025</v>
      </c>
      <c r="B8" s="2">
        <v>6</v>
      </c>
      <c r="C8" s="2">
        <v>2</v>
      </c>
      <c r="D8" s="2">
        <v>801108</v>
      </c>
      <c r="E8" s="1" t="s">
        <v>79</v>
      </c>
      <c r="F8" s="1" t="s">
        <v>57</v>
      </c>
      <c r="G8" s="1" t="s">
        <v>58</v>
      </c>
      <c r="H8" s="1" t="s">
        <v>59</v>
      </c>
      <c r="I8" s="1" t="s">
        <v>60</v>
      </c>
      <c r="J8" s="1" t="s">
        <v>61</v>
      </c>
      <c r="K8" s="1" t="s">
        <v>62</v>
      </c>
      <c r="L8" s="1" t="s">
        <v>63</v>
      </c>
      <c r="M8" s="1" t="s">
        <v>64</v>
      </c>
      <c r="N8" s="1" t="s">
        <v>65</v>
      </c>
      <c r="O8" s="1" t="s">
        <v>66</v>
      </c>
      <c r="P8" s="2">
        <v>5</v>
      </c>
      <c r="Q8" s="2">
        <v>0</v>
      </c>
      <c r="R8" s="2">
        <v>0</v>
      </c>
      <c r="S8" s="2">
        <v>0</v>
      </c>
      <c r="T8" s="2">
        <v>5</v>
      </c>
      <c r="U8" s="2">
        <v>5</v>
      </c>
      <c r="V8" s="2">
        <v>1</v>
      </c>
      <c r="W8" s="2">
        <v>0</v>
      </c>
      <c r="X8" s="3">
        <v>14.300000190734863</v>
      </c>
      <c r="Y8" s="2">
        <v>0</v>
      </c>
      <c r="Z8" s="2">
        <v>0</v>
      </c>
      <c r="AA8" s="2">
        <v>125</v>
      </c>
      <c r="AB8" s="2">
        <v>0</v>
      </c>
      <c r="AC8" s="2">
        <v>0</v>
      </c>
      <c r="AD8" s="2">
        <v>0</v>
      </c>
      <c r="AE8" s="3">
        <v>3.75</v>
      </c>
      <c r="AF8" s="2">
        <v>0</v>
      </c>
      <c r="AG8" s="2">
        <v>0</v>
      </c>
      <c r="AH8" s="2">
        <v>0</v>
      </c>
      <c r="AI8" s="2">
        <v>0</v>
      </c>
      <c r="AJ8" s="2">
        <v>15</v>
      </c>
      <c r="AK8" s="2">
        <v>0</v>
      </c>
      <c r="AL8" s="2">
        <v>0</v>
      </c>
      <c r="AM8" s="2">
        <v>0</v>
      </c>
      <c r="AN8" s="3">
        <v>2.8373889923095703</v>
      </c>
      <c r="AO8" s="2">
        <v>0</v>
      </c>
      <c r="AP8" s="2">
        <v>0</v>
      </c>
      <c r="AQ8" s="2">
        <v>0</v>
      </c>
      <c r="AR8" s="1" t="s">
        <v>68</v>
      </c>
      <c r="AS8" s="2">
        <v>0</v>
      </c>
      <c r="AT8" s="1" t="s">
        <v>68</v>
      </c>
      <c r="AU8" s="3">
        <v>143.75</v>
      </c>
      <c r="AV8" s="3">
        <v>18.75</v>
      </c>
      <c r="AW8" s="3">
        <v>143.75</v>
      </c>
      <c r="AX8" s="3">
        <v>143.75</v>
      </c>
      <c r="AY8" s="3">
        <v>143.75</v>
      </c>
      <c r="AZ8" s="3">
        <v>10</v>
      </c>
      <c r="BA8" s="3">
        <v>153.75</v>
      </c>
      <c r="BB8" s="2">
        <v>0</v>
      </c>
      <c r="BC8" s="3">
        <v>27.675000000000001</v>
      </c>
      <c r="BD8" s="3">
        <v>181.42500000000001</v>
      </c>
    </row>
    <row r="9" spans="1:56">
      <c r="A9" s="2">
        <v>2025</v>
      </c>
      <c r="B9" s="2">
        <v>6</v>
      </c>
      <c r="C9" s="2">
        <v>2</v>
      </c>
      <c r="D9" s="2">
        <v>793831</v>
      </c>
      <c r="E9" s="1" t="s">
        <v>80</v>
      </c>
      <c r="F9" s="1" t="s">
        <v>57</v>
      </c>
      <c r="G9" s="1" t="s">
        <v>73</v>
      </c>
      <c r="H9" s="1" t="s">
        <v>59</v>
      </c>
      <c r="I9" s="1" t="s">
        <v>81</v>
      </c>
      <c r="J9" s="1" t="s">
        <v>61</v>
      </c>
      <c r="K9" s="1" t="s">
        <v>62</v>
      </c>
      <c r="L9" s="1" t="s">
        <v>63</v>
      </c>
      <c r="M9" s="1" t="s">
        <v>64</v>
      </c>
      <c r="N9" s="1" t="s">
        <v>82</v>
      </c>
      <c r="O9" s="1" t="s">
        <v>66</v>
      </c>
      <c r="P9" s="2">
        <v>112</v>
      </c>
      <c r="Q9" s="2">
        <v>1</v>
      </c>
      <c r="R9" s="2">
        <v>0</v>
      </c>
      <c r="S9" s="2">
        <v>85</v>
      </c>
      <c r="T9" s="2">
        <v>27</v>
      </c>
      <c r="U9" s="2">
        <v>112</v>
      </c>
      <c r="V9" s="2">
        <v>6</v>
      </c>
      <c r="W9" s="2">
        <v>0</v>
      </c>
      <c r="X9" s="3">
        <v>307.3699951171875</v>
      </c>
      <c r="Y9" s="2">
        <v>30</v>
      </c>
      <c r="Z9" s="2">
        <v>0</v>
      </c>
      <c r="AA9" s="2">
        <v>3390</v>
      </c>
      <c r="AB9" s="2">
        <v>40</v>
      </c>
      <c r="AC9" s="2">
        <v>170</v>
      </c>
      <c r="AD9" s="2">
        <v>0</v>
      </c>
      <c r="AE9" s="3">
        <v>183.35000610351562</v>
      </c>
      <c r="AF9" s="2">
        <v>1305</v>
      </c>
      <c r="AG9" s="2">
        <v>0</v>
      </c>
      <c r="AH9" s="2">
        <v>0</v>
      </c>
      <c r="AI9" s="2">
        <v>0</v>
      </c>
      <c r="AJ9" s="2">
        <v>81</v>
      </c>
      <c r="AK9" s="2">
        <v>0</v>
      </c>
      <c r="AL9" s="2">
        <v>250</v>
      </c>
      <c r="AM9" s="2">
        <v>0</v>
      </c>
      <c r="AN9" s="3">
        <v>40.268276214599609</v>
      </c>
      <c r="AO9" s="2">
        <v>0</v>
      </c>
      <c r="AP9" s="2">
        <v>0</v>
      </c>
      <c r="AQ9" s="2">
        <v>0</v>
      </c>
      <c r="AR9" s="1" t="s">
        <v>68</v>
      </c>
      <c r="AS9" s="2">
        <v>0</v>
      </c>
      <c r="AT9" s="1" t="s">
        <v>68</v>
      </c>
      <c r="AU9" s="3">
        <v>5419.35009765625</v>
      </c>
      <c r="AV9" s="3">
        <v>2029.3499755859375</v>
      </c>
      <c r="AW9" s="3">
        <v>5419.35009765625</v>
      </c>
      <c r="AX9" s="3">
        <v>5419.35009765625</v>
      </c>
      <c r="AY9" s="3">
        <v>5419.35009765625</v>
      </c>
      <c r="AZ9" s="3">
        <v>271.2</v>
      </c>
      <c r="BA9" s="3">
        <v>5690.5500976562498</v>
      </c>
      <c r="BB9" s="2">
        <v>0</v>
      </c>
      <c r="BC9" s="3">
        <v>1024.2990175781249</v>
      </c>
      <c r="BD9" s="3">
        <v>6714.8491152343749</v>
      </c>
    </row>
    <row r="10" spans="1:56">
      <c r="A10" s="2">
        <v>2025</v>
      </c>
      <c r="B10" s="2">
        <v>6</v>
      </c>
      <c r="C10" s="2">
        <v>2</v>
      </c>
      <c r="D10" s="2">
        <v>741275</v>
      </c>
      <c r="E10" s="1" t="s">
        <v>83</v>
      </c>
      <c r="F10" s="1" t="s">
        <v>57</v>
      </c>
      <c r="G10" s="1" t="s">
        <v>73</v>
      </c>
      <c r="H10" s="1" t="s">
        <v>59</v>
      </c>
      <c r="I10" s="1" t="s">
        <v>84</v>
      </c>
      <c r="J10" s="1" t="s">
        <v>61</v>
      </c>
      <c r="K10" s="1" t="s">
        <v>62</v>
      </c>
      <c r="L10" s="1" t="s">
        <v>63</v>
      </c>
      <c r="M10" s="1" t="s">
        <v>64</v>
      </c>
      <c r="N10" s="1" t="s">
        <v>85</v>
      </c>
      <c r="O10" s="1" t="s">
        <v>66</v>
      </c>
      <c r="P10" s="2">
        <v>176</v>
      </c>
      <c r="Q10" s="2">
        <v>3</v>
      </c>
      <c r="R10" s="2">
        <v>0</v>
      </c>
      <c r="S10" s="2">
        <v>122</v>
      </c>
      <c r="T10" s="2">
        <v>54</v>
      </c>
      <c r="U10" s="2">
        <v>176</v>
      </c>
      <c r="V10" s="2">
        <v>7</v>
      </c>
      <c r="W10" s="2">
        <v>0</v>
      </c>
      <c r="X10" s="3">
        <v>552.47998046875</v>
      </c>
      <c r="Y10" s="2">
        <v>90</v>
      </c>
      <c r="Z10" s="2">
        <v>0</v>
      </c>
      <c r="AA10" s="2">
        <v>5370</v>
      </c>
      <c r="AB10" s="2">
        <v>70</v>
      </c>
      <c r="AC10" s="2">
        <v>3600</v>
      </c>
      <c r="AD10" s="2">
        <v>0</v>
      </c>
      <c r="AE10" s="3">
        <v>442.5</v>
      </c>
      <c r="AF10" s="2">
        <v>2608</v>
      </c>
      <c r="AG10" s="2">
        <v>0</v>
      </c>
      <c r="AH10" s="2">
        <v>0</v>
      </c>
      <c r="AI10" s="2">
        <v>0</v>
      </c>
      <c r="AJ10" s="2">
        <v>165</v>
      </c>
      <c r="AK10" s="2">
        <v>0</v>
      </c>
      <c r="AL10" s="2">
        <v>500</v>
      </c>
      <c r="AM10" s="2">
        <v>0</v>
      </c>
      <c r="AN10" s="3">
        <v>51.882057189941406</v>
      </c>
      <c r="AO10" s="2">
        <v>0</v>
      </c>
      <c r="AP10" s="2">
        <v>0</v>
      </c>
      <c r="AQ10" s="2">
        <v>0</v>
      </c>
      <c r="AR10" s="1" t="s">
        <v>68</v>
      </c>
      <c r="AS10" s="2">
        <v>100</v>
      </c>
      <c r="AT10" s="1" t="s">
        <v>86</v>
      </c>
      <c r="AU10" s="3">
        <v>12755.5</v>
      </c>
      <c r="AV10" s="3">
        <v>7385.5</v>
      </c>
      <c r="AW10" s="3">
        <v>12755.5</v>
      </c>
      <c r="AX10" s="3">
        <v>12755.5</v>
      </c>
      <c r="AY10" s="3">
        <v>12655.5</v>
      </c>
      <c r="AZ10" s="3">
        <v>429.6</v>
      </c>
      <c r="BA10" s="3">
        <v>13085.1</v>
      </c>
      <c r="BB10" s="2">
        <v>0</v>
      </c>
      <c r="BC10" s="3">
        <v>2355.3179999999998</v>
      </c>
      <c r="BD10" s="3">
        <v>15440.418</v>
      </c>
    </row>
    <row r="11" spans="1:56">
      <c r="A11" s="2">
        <v>2025</v>
      </c>
      <c r="B11" s="2">
        <v>6</v>
      </c>
      <c r="C11" s="2">
        <v>2</v>
      </c>
      <c r="D11" s="2">
        <v>793343</v>
      </c>
      <c r="E11" s="1" t="s">
        <v>87</v>
      </c>
      <c r="F11" s="1" t="s">
        <v>57</v>
      </c>
      <c r="G11" s="1" t="s">
        <v>77</v>
      </c>
      <c r="H11" s="1" t="s">
        <v>59</v>
      </c>
      <c r="I11" s="1" t="s">
        <v>84</v>
      </c>
      <c r="J11" s="1" t="s">
        <v>61</v>
      </c>
      <c r="K11" s="1" t="s">
        <v>62</v>
      </c>
      <c r="L11" s="1" t="s">
        <v>63</v>
      </c>
      <c r="M11" s="1" t="s">
        <v>64</v>
      </c>
      <c r="N11" s="1" t="s">
        <v>88</v>
      </c>
      <c r="O11" s="1" t="s">
        <v>66</v>
      </c>
      <c r="P11" s="2">
        <v>113</v>
      </c>
      <c r="Q11" s="2">
        <v>0</v>
      </c>
      <c r="R11" s="2">
        <v>0</v>
      </c>
      <c r="S11" s="2">
        <v>88</v>
      </c>
      <c r="T11" s="2">
        <v>25</v>
      </c>
      <c r="U11" s="2">
        <v>113</v>
      </c>
      <c r="V11" s="2">
        <v>7</v>
      </c>
      <c r="W11" s="2">
        <v>0</v>
      </c>
      <c r="X11" s="3">
        <v>373.58999633789062</v>
      </c>
      <c r="Y11" s="2">
        <v>0</v>
      </c>
      <c r="Z11" s="2">
        <v>0</v>
      </c>
      <c r="AA11" s="2">
        <v>2825</v>
      </c>
      <c r="AB11" s="2">
        <v>60</v>
      </c>
      <c r="AC11" s="2">
        <v>2240</v>
      </c>
      <c r="AD11" s="2">
        <v>0</v>
      </c>
      <c r="AE11" s="3">
        <v>337.85000610351562</v>
      </c>
      <c r="AF11" s="2">
        <v>1590</v>
      </c>
      <c r="AG11" s="2">
        <v>0</v>
      </c>
      <c r="AH11" s="2">
        <v>0</v>
      </c>
      <c r="AI11" s="2">
        <v>0</v>
      </c>
      <c r="AJ11" s="2">
        <v>75</v>
      </c>
      <c r="AK11" s="2">
        <v>0</v>
      </c>
      <c r="AL11" s="2">
        <v>250</v>
      </c>
      <c r="AM11" s="2">
        <v>0</v>
      </c>
      <c r="AN11" s="3">
        <v>39.265388488769531</v>
      </c>
      <c r="AO11" s="2">
        <v>0</v>
      </c>
      <c r="AP11" s="2">
        <v>0</v>
      </c>
      <c r="AQ11" s="2">
        <v>0</v>
      </c>
      <c r="AR11" s="1" t="s">
        <v>68</v>
      </c>
      <c r="AS11" s="2">
        <v>0</v>
      </c>
      <c r="AT11" s="1" t="s">
        <v>68</v>
      </c>
      <c r="AU11" s="3">
        <v>7377.85009765625</v>
      </c>
      <c r="AV11" s="3">
        <v>4552.85009765625</v>
      </c>
      <c r="AW11" s="3">
        <v>7377.85009765625</v>
      </c>
      <c r="AX11" s="3">
        <v>7377.85009765625</v>
      </c>
      <c r="AY11" s="3">
        <v>7377.85009765625</v>
      </c>
      <c r="AZ11" s="3">
        <v>226</v>
      </c>
      <c r="BA11" s="3">
        <v>7603.85009765625</v>
      </c>
      <c r="BB11" s="2">
        <v>0</v>
      </c>
      <c r="BC11" s="3">
        <v>1368.6930175781249</v>
      </c>
      <c r="BD11" s="3">
        <v>8972.5431152343754</v>
      </c>
    </row>
    <row r="12" spans="1:56">
      <c r="A12" s="2">
        <v>2025</v>
      </c>
      <c r="B12" s="2">
        <v>6</v>
      </c>
      <c r="C12" s="2">
        <v>2</v>
      </c>
      <c r="D12" s="2">
        <v>784299</v>
      </c>
      <c r="E12" s="1" t="s">
        <v>89</v>
      </c>
      <c r="F12" s="1" t="s">
        <v>57</v>
      </c>
      <c r="G12" s="1" t="s">
        <v>73</v>
      </c>
      <c r="H12" s="1" t="s">
        <v>59</v>
      </c>
      <c r="I12" s="1" t="s">
        <v>90</v>
      </c>
      <c r="J12" s="1" t="s">
        <v>61</v>
      </c>
      <c r="K12" s="1" t="s">
        <v>62</v>
      </c>
      <c r="L12" s="1" t="s">
        <v>63</v>
      </c>
      <c r="M12" s="1" t="s">
        <v>64</v>
      </c>
      <c r="N12" s="1" t="s">
        <v>91</v>
      </c>
      <c r="O12" s="1" t="s">
        <v>66</v>
      </c>
      <c r="P12" s="2">
        <v>19</v>
      </c>
      <c r="Q12" s="2">
        <v>1</v>
      </c>
      <c r="R12" s="2">
        <v>0</v>
      </c>
      <c r="S12" s="2">
        <v>7</v>
      </c>
      <c r="T12" s="2">
        <v>12</v>
      </c>
      <c r="U12" s="2">
        <v>19</v>
      </c>
      <c r="V12" s="2">
        <v>2</v>
      </c>
      <c r="W12" s="2">
        <v>0</v>
      </c>
      <c r="X12" s="3">
        <v>46.409999847412109</v>
      </c>
      <c r="Y12" s="2">
        <v>30</v>
      </c>
      <c r="Z12" s="2">
        <v>0</v>
      </c>
      <c r="AA12" s="2">
        <v>600</v>
      </c>
      <c r="AB12" s="2">
        <v>0</v>
      </c>
      <c r="AC12" s="2">
        <v>0</v>
      </c>
      <c r="AD12" s="2">
        <v>0</v>
      </c>
      <c r="AE12" s="3">
        <v>4.8000001907348633</v>
      </c>
      <c r="AF12" s="2">
        <v>60</v>
      </c>
      <c r="AG12" s="2">
        <v>0</v>
      </c>
      <c r="AH12" s="2">
        <v>0</v>
      </c>
      <c r="AI12" s="2">
        <v>0</v>
      </c>
      <c r="AJ12" s="2">
        <v>39</v>
      </c>
      <c r="AK12" s="2">
        <v>0</v>
      </c>
      <c r="AL12" s="2">
        <v>0</v>
      </c>
      <c r="AM12" s="2">
        <v>0</v>
      </c>
      <c r="AN12" s="3">
        <v>8.5432777404785156</v>
      </c>
      <c r="AO12" s="2">
        <v>0</v>
      </c>
      <c r="AP12" s="2">
        <v>0</v>
      </c>
      <c r="AQ12" s="2">
        <v>0</v>
      </c>
      <c r="AR12" s="1" t="s">
        <v>68</v>
      </c>
      <c r="AS12" s="2">
        <v>0</v>
      </c>
      <c r="AT12" s="1" t="s">
        <v>68</v>
      </c>
      <c r="AU12" s="3">
        <v>703.79998779296875</v>
      </c>
      <c r="AV12" s="3">
        <v>103.80000305175781</v>
      </c>
      <c r="AW12" s="3">
        <v>703.79998779296875</v>
      </c>
      <c r="AX12" s="3">
        <v>703.79998779296875</v>
      </c>
      <c r="AY12" s="3">
        <v>703.79998779296875</v>
      </c>
      <c r="AZ12" s="3">
        <v>48</v>
      </c>
      <c r="BA12" s="3">
        <v>751.79998779296875</v>
      </c>
      <c r="BB12" s="2">
        <v>0</v>
      </c>
      <c r="BC12" s="3">
        <v>135.32399780273437</v>
      </c>
      <c r="BD12" s="3">
        <v>887.12398559570306</v>
      </c>
    </row>
    <row r="13" spans="1:56">
      <c r="A13" s="2">
        <v>2025</v>
      </c>
      <c r="B13" s="2">
        <v>6</v>
      </c>
      <c r="C13" s="2">
        <v>2</v>
      </c>
      <c r="D13" s="2">
        <v>757911</v>
      </c>
      <c r="E13" s="1" t="s">
        <v>92</v>
      </c>
      <c r="F13" s="1" t="s">
        <v>57</v>
      </c>
      <c r="G13" s="1" t="s">
        <v>58</v>
      </c>
      <c r="H13" s="1" t="s">
        <v>59</v>
      </c>
      <c r="I13" s="1" t="s">
        <v>93</v>
      </c>
      <c r="J13" s="1" t="s">
        <v>61</v>
      </c>
      <c r="K13" s="1" t="s">
        <v>62</v>
      </c>
      <c r="L13" s="1" t="s">
        <v>63</v>
      </c>
      <c r="M13" s="1" t="s">
        <v>64</v>
      </c>
      <c r="N13" s="1" t="s">
        <v>94</v>
      </c>
      <c r="O13" s="1" t="s">
        <v>66</v>
      </c>
      <c r="P13" s="2">
        <v>236</v>
      </c>
      <c r="Q13" s="2">
        <v>1</v>
      </c>
      <c r="R13" s="2">
        <v>0</v>
      </c>
      <c r="S13" s="2">
        <v>165</v>
      </c>
      <c r="T13" s="2">
        <v>71</v>
      </c>
      <c r="U13" s="2">
        <v>236</v>
      </c>
      <c r="V13" s="2">
        <v>7</v>
      </c>
      <c r="W13" s="2">
        <v>0</v>
      </c>
      <c r="X13" s="3">
        <v>419.10000610351562</v>
      </c>
      <c r="Y13" s="2">
        <v>25</v>
      </c>
      <c r="Z13" s="2">
        <v>0</v>
      </c>
      <c r="AA13" s="2">
        <v>5925</v>
      </c>
      <c r="AB13" s="2">
        <v>50</v>
      </c>
      <c r="AC13" s="2">
        <v>0</v>
      </c>
      <c r="AD13" s="2">
        <v>0</v>
      </c>
      <c r="AE13" s="3">
        <v>1.9500000476837158</v>
      </c>
      <c r="AF13" s="2">
        <v>3477</v>
      </c>
      <c r="AG13" s="2">
        <v>0</v>
      </c>
      <c r="AH13" s="2">
        <v>0</v>
      </c>
      <c r="AI13" s="2">
        <v>0</v>
      </c>
      <c r="AJ13" s="2">
        <v>213</v>
      </c>
      <c r="AK13" s="2">
        <v>0</v>
      </c>
      <c r="AL13" s="2">
        <v>800</v>
      </c>
      <c r="AM13" s="2">
        <v>0</v>
      </c>
      <c r="AN13" s="3">
        <v>52.183334350585938</v>
      </c>
      <c r="AO13" s="2">
        <v>0</v>
      </c>
      <c r="AP13" s="2">
        <v>0</v>
      </c>
      <c r="AQ13" s="2">
        <v>0</v>
      </c>
      <c r="AR13" s="1" t="s">
        <v>68</v>
      </c>
      <c r="AS13" s="2">
        <v>0</v>
      </c>
      <c r="AT13" s="1" t="s">
        <v>68</v>
      </c>
      <c r="AU13" s="3">
        <v>10466.9501953125</v>
      </c>
      <c r="AV13" s="3">
        <v>4541.9501953125</v>
      </c>
      <c r="AW13" s="3">
        <v>10466.9501953125</v>
      </c>
      <c r="AX13" s="3">
        <v>10466.9501953125</v>
      </c>
      <c r="AY13" s="3">
        <v>10466.9501953125</v>
      </c>
      <c r="AZ13" s="3">
        <v>474</v>
      </c>
      <c r="BA13" s="3">
        <v>10940.9501953125</v>
      </c>
      <c r="BB13" s="2">
        <v>0</v>
      </c>
      <c r="BC13" s="3">
        <v>1969.3710351562499</v>
      </c>
      <c r="BD13" s="3">
        <v>12910.321230468749</v>
      </c>
    </row>
    <row r="14" spans="1:56">
      <c r="A14" s="2">
        <v>2025</v>
      </c>
      <c r="B14" s="2">
        <v>6</v>
      </c>
      <c r="C14" s="2">
        <v>2</v>
      </c>
      <c r="D14" s="2">
        <v>763173</v>
      </c>
      <c r="E14" s="1" t="s">
        <v>95</v>
      </c>
      <c r="F14" s="1" t="s">
        <v>57</v>
      </c>
      <c r="G14" s="1" t="s">
        <v>58</v>
      </c>
      <c r="H14" s="1" t="s">
        <v>59</v>
      </c>
      <c r="I14" s="1" t="s">
        <v>93</v>
      </c>
      <c r="J14" s="1" t="s">
        <v>61</v>
      </c>
      <c r="K14" s="1" t="s">
        <v>62</v>
      </c>
      <c r="L14" s="1" t="s">
        <v>63</v>
      </c>
      <c r="M14" s="1" t="s">
        <v>64</v>
      </c>
      <c r="N14" s="1" t="s">
        <v>94</v>
      </c>
      <c r="O14" s="1" t="s">
        <v>66</v>
      </c>
      <c r="P14" s="2">
        <v>91</v>
      </c>
      <c r="Q14" s="2">
        <v>0</v>
      </c>
      <c r="R14" s="2">
        <v>0</v>
      </c>
      <c r="S14" s="2">
        <v>63</v>
      </c>
      <c r="T14" s="2">
        <v>28</v>
      </c>
      <c r="U14" s="2">
        <v>91</v>
      </c>
      <c r="V14" s="2">
        <v>3</v>
      </c>
      <c r="W14" s="2">
        <v>0</v>
      </c>
      <c r="X14" s="3">
        <v>155.33999633789063</v>
      </c>
      <c r="Y14" s="2">
        <v>0</v>
      </c>
      <c r="Z14" s="2">
        <v>0</v>
      </c>
      <c r="AA14" s="2">
        <v>2275</v>
      </c>
      <c r="AB14" s="2">
        <v>0</v>
      </c>
      <c r="AC14" s="2">
        <v>2240</v>
      </c>
      <c r="AD14" s="2">
        <v>0</v>
      </c>
      <c r="AE14" s="3">
        <v>1.5</v>
      </c>
      <c r="AF14" s="2">
        <v>1311</v>
      </c>
      <c r="AG14" s="2">
        <v>0</v>
      </c>
      <c r="AH14" s="2">
        <v>0</v>
      </c>
      <c r="AI14" s="2">
        <v>0</v>
      </c>
      <c r="AJ14" s="2">
        <v>90</v>
      </c>
      <c r="AK14" s="2">
        <v>0</v>
      </c>
      <c r="AL14" s="2">
        <v>0</v>
      </c>
      <c r="AM14" s="2">
        <v>0</v>
      </c>
      <c r="AN14" s="3">
        <v>15.854722023010254</v>
      </c>
      <c r="AO14" s="2">
        <v>0</v>
      </c>
      <c r="AP14" s="2">
        <v>0</v>
      </c>
      <c r="AQ14" s="2">
        <v>0</v>
      </c>
      <c r="AR14" s="1" t="s">
        <v>68</v>
      </c>
      <c r="AS14" s="2">
        <v>0</v>
      </c>
      <c r="AT14" s="1" t="s">
        <v>68</v>
      </c>
      <c r="AU14" s="3">
        <v>5917.5</v>
      </c>
      <c r="AV14" s="3">
        <v>3642.5</v>
      </c>
      <c r="AW14" s="3">
        <v>5917.5</v>
      </c>
      <c r="AX14" s="3">
        <v>5917.5</v>
      </c>
      <c r="AY14" s="3">
        <v>5917.5</v>
      </c>
      <c r="AZ14" s="3">
        <v>182</v>
      </c>
      <c r="BA14" s="3">
        <v>6099.5</v>
      </c>
      <c r="BB14" s="2">
        <v>0</v>
      </c>
      <c r="BC14" s="3">
        <v>1097.9099999999999</v>
      </c>
      <c r="BD14" s="3">
        <v>7197.41</v>
      </c>
    </row>
    <row r="15" spans="1:56">
      <c r="A15" s="2">
        <v>2025</v>
      </c>
      <c r="B15" s="2">
        <v>6</v>
      </c>
      <c r="C15" s="2">
        <v>2</v>
      </c>
      <c r="D15" s="2">
        <v>801751</v>
      </c>
      <c r="E15" s="1" t="s">
        <v>96</v>
      </c>
      <c r="F15" s="1" t="s">
        <v>57</v>
      </c>
      <c r="G15" s="1" t="s">
        <v>77</v>
      </c>
      <c r="H15" s="1" t="s">
        <v>59</v>
      </c>
      <c r="I15" s="1" t="s">
        <v>93</v>
      </c>
      <c r="J15" s="1" t="s">
        <v>61</v>
      </c>
      <c r="K15" s="1" t="s">
        <v>62</v>
      </c>
      <c r="L15" s="1" t="s">
        <v>63</v>
      </c>
      <c r="M15" s="1" t="s">
        <v>64</v>
      </c>
      <c r="N15" s="1" t="s">
        <v>94</v>
      </c>
      <c r="O15" s="1" t="s">
        <v>66</v>
      </c>
      <c r="P15" s="2">
        <v>13</v>
      </c>
      <c r="Q15" s="2">
        <v>6</v>
      </c>
      <c r="R15" s="2">
        <v>0</v>
      </c>
      <c r="S15" s="2">
        <v>13</v>
      </c>
      <c r="T15" s="2">
        <v>0</v>
      </c>
      <c r="U15" s="2">
        <v>13</v>
      </c>
      <c r="V15" s="2">
        <v>1</v>
      </c>
      <c r="W15" s="2">
        <v>0</v>
      </c>
      <c r="X15" s="3">
        <v>35.25</v>
      </c>
      <c r="Y15" s="2">
        <v>150</v>
      </c>
      <c r="Z15" s="2">
        <v>0</v>
      </c>
      <c r="AA15" s="2">
        <v>475</v>
      </c>
      <c r="AB15" s="2">
        <v>30</v>
      </c>
      <c r="AC15" s="2">
        <v>0</v>
      </c>
      <c r="AD15" s="2">
        <v>0</v>
      </c>
      <c r="AE15" s="2">
        <v>0</v>
      </c>
      <c r="AF15" s="2">
        <v>65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3">
        <v>7.2862224578857422</v>
      </c>
      <c r="AO15" s="2">
        <v>0</v>
      </c>
      <c r="AP15" s="2">
        <v>0</v>
      </c>
      <c r="AQ15" s="2">
        <v>0</v>
      </c>
      <c r="AR15" s="1" t="s">
        <v>68</v>
      </c>
      <c r="AS15" s="2">
        <v>0</v>
      </c>
      <c r="AT15" s="1" t="s">
        <v>68</v>
      </c>
      <c r="AU15" s="2">
        <v>570</v>
      </c>
      <c r="AV15" s="2">
        <v>95</v>
      </c>
      <c r="AW15" s="2">
        <v>570</v>
      </c>
      <c r="AX15" s="2">
        <v>570</v>
      </c>
      <c r="AY15" s="2">
        <v>570</v>
      </c>
      <c r="AZ15" s="3">
        <v>38</v>
      </c>
      <c r="BA15" s="3">
        <v>608</v>
      </c>
      <c r="BB15" s="2">
        <v>0</v>
      </c>
      <c r="BC15" s="3">
        <v>109.44</v>
      </c>
      <c r="BD15" s="3">
        <v>717.44</v>
      </c>
    </row>
    <row r="16" spans="1:56">
      <c r="A16" s="2">
        <v>2025</v>
      </c>
      <c r="B16" s="2">
        <v>6</v>
      </c>
      <c r="C16" s="2">
        <v>2</v>
      </c>
      <c r="D16" s="2">
        <v>799957</v>
      </c>
      <c r="E16" s="1" t="s">
        <v>97</v>
      </c>
      <c r="F16" s="1" t="s">
        <v>57</v>
      </c>
      <c r="G16" s="1" t="s">
        <v>77</v>
      </c>
      <c r="H16" s="1" t="s">
        <v>59</v>
      </c>
      <c r="I16" s="1" t="s">
        <v>98</v>
      </c>
      <c r="J16" s="1" t="s">
        <v>61</v>
      </c>
      <c r="K16" s="1" t="s">
        <v>62</v>
      </c>
      <c r="L16" s="1" t="s">
        <v>63</v>
      </c>
      <c r="M16" s="1" t="s">
        <v>64</v>
      </c>
      <c r="N16" s="1" t="s">
        <v>99</v>
      </c>
      <c r="O16" s="1" t="s">
        <v>66</v>
      </c>
      <c r="P16" s="2">
        <v>52</v>
      </c>
      <c r="Q16" s="2">
        <v>3</v>
      </c>
      <c r="R16" s="2">
        <v>0</v>
      </c>
      <c r="S16" s="2">
        <v>38</v>
      </c>
      <c r="T16" s="2">
        <v>14</v>
      </c>
      <c r="U16" s="2">
        <v>52</v>
      </c>
      <c r="V16" s="2">
        <v>5</v>
      </c>
      <c r="W16" s="2">
        <v>0</v>
      </c>
      <c r="X16" s="3">
        <v>98.419998168945313</v>
      </c>
      <c r="Y16" s="2">
        <v>75</v>
      </c>
      <c r="Z16" s="2">
        <v>0</v>
      </c>
      <c r="AA16" s="2">
        <v>1375</v>
      </c>
      <c r="AB16" s="2">
        <v>0</v>
      </c>
      <c r="AC16" s="2">
        <v>0</v>
      </c>
      <c r="AD16" s="2">
        <v>0</v>
      </c>
      <c r="AE16" s="3">
        <v>28.5</v>
      </c>
      <c r="AF16" s="2">
        <v>317</v>
      </c>
      <c r="AG16" s="2">
        <v>0</v>
      </c>
      <c r="AH16" s="2">
        <v>0</v>
      </c>
      <c r="AI16" s="2">
        <v>0</v>
      </c>
      <c r="AJ16" s="2">
        <v>42</v>
      </c>
      <c r="AK16" s="2">
        <v>0</v>
      </c>
      <c r="AL16" s="2">
        <v>0</v>
      </c>
      <c r="AM16" s="2">
        <v>0</v>
      </c>
      <c r="AN16" s="3">
        <v>18.624555587768555</v>
      </c>
      <c r="AO16" s="2">
        <v>0</v>
      </c>
      <c r="AP16" s="2">
        <v>0</v>
      </c>
      <c r="AQ16" s="2">
        <v>0</v>
      </c>
      <c r="AR16" s="1" t="s">
        <v>68</v>
      </c>
      <c r="AS16" s="2">
        <v>0</v>
      </c>
      <c r="AT16" s="1" t="s">
        <v>68</v>
      </c>
      <c r="AU16" s="3">
        <v>1762.5</v>
      </c>
      <c r="AV16" s="3">
        <v>387.5</v>
      </c>
      <c r="AW16" s="3">
        <v>1762.5</v>
      </c>
      <c r="AX16" s="3">
        <v>1762.5</v>
      </c>
      <c r="AY16" s="3">
        <v>1762.5</v>
      </c>
      <c r="AZ16" s="3">
        <v>110</v>
      </c>
      <c r="BA16" s="3">
        <v>1872.5</v>
      </c>
      <c r="BB16" s="2">
        <v>0</v>
      </c>
      <c r="BC16" s="3">
        <v>337.05</v>
      </c>
      <c r="BD16" s="3">
        <v>2209.5500000000002</v>
      </c>
    </row>
    <row r="17" spans="1:56">
      <c r="A17" s="2">
        <v>2025</v>
      </c>
      <c r="B17" s="2">
        <v>6</v>
      </c>
      <c r="C17" s="2">
        <v>2</v>
      </c>
      <c r="D17" s="2">
        <v>780996</v>
      </c>
      <c r="E17" s="1" t="s">
        <v>100</v>
      </c>
      <c r="F17" s="1" t="s">
        <v>57</v>
      </c>
      <c r="G17" s="1" t="s">
        <v>58</v>
      </c>
      <c r="H17" s="1" t="s">
        <v>59</v>
      </c>
      <c r="I17" s="1" t="s">
        <v>101</v>
      </c>
      <c r="J17" s="1" t="s">
        <v>61</v>
      </c>
      <c r="K17" s="1" t="s">
        <v>62</v>
      </c>
      <c r="L17" s="1" t="s">
        <v>63</v>
      </c>
      <c r="M17" s="1" t="s">
        <v>64</v>
      </c>
      <c r="N17" s="1" t="s">
        <v>102</v>
      </c>
      <c r="O17" s="1" t="s">
        <v>66</v>
      </c>
      <c r="P17" s="2">
        <v>99</v>
      </c>
      <c r="Q17" s="2">
        <v>2</v>
      </c>
      <c r="R17" s="2">
        <v>0</v>
      </c>
      <c r="S17" s="2">
        <v>68</v>
      </c>
      <c r="T17" s="2">
        <v>31</v>
      </c>
      <c r="U17" s="2">
        <v>99</v>
      </c>
      <c r="V17" s="2">
        <v>6</v>
      </c>
      <c r="W17" s="2">
        <v>0</v>
      </c>
      <c r="X17" s="3">
        <v>299.45001220703125</v>
      </c>
      <c r="Y17" s="2">
        <v>50</v>
      </c>
      <c r="Z17" s="2">
        <v>0</v>
      </c>
      <c r="AA17" s="2">
        <v>2525</v>
      </c>
      <c r="AB17" s="2">
        <v>10</v>
      </c>
      <c r="AC17" s="2">
        <v>290</v>
      </c>
      <c r="AD17" s="2">
        <v>0</v>
      </c>
      <c r="AE17" s="3">
        <v>510.23001098632812</v>
      </c>
      <c r="AF17" s="2">
        <v>1015</v>
      </c>
      <c r="AG17" s="2">
        <v>0</v>
      </c>
      <c r="AH17" s="2">
        <v>0</v>
      </c>
      <c r="AI17" s="2">
        <v>50</v>
      </c>
      <c r="AJ17" s="2">
        <v>93</v>
      </c>
      <c r="AK17" s="2">
        <v>0</v>
      </c>
      <c r="AL17" s="2">
        <v>0</v>
      </c>
      <c r="AM17" s="2">
        <v>0</v>
      </c>
      <c r="AN17" s="3">
        <v>31.165721893310547</v>
      </c>
      <c r="AO17" s="2">
        <v>0</v>
      </c>
      <c r="AP17" s="2">
        <v>0</v>
      </c>
      <c r="AQ17" s="2">
        <v>0</v>
      </c>
      <c r="AR17" s="1" t="s">
        <v>68</v>
      </c>
      <c r="AS17" s="2">
        <v>0</v>
      </c>
      <c r="AT17" s="1" t="s">
        <v>68</v>
      </c>
      <c r="AU17" s="3">
        <v>4493.22998046875</v>
      </c>
      <c r="AV17" s="3">
        <v>1968.22998046875</v>
      </c>
      <c r="AW17" s="3">
        <v>4493.22998046875</v>
      </c>
      <c r="AX17" s="3">
        <v>4493.22998046875</v>
      </c>
      <c r="AY17" s="3">
        <v>4493.22998046875</v>
      </c>
      <c r="AZ17" s="3">
        <v>202</v>
      </c>
      <c r="BA17" s="3">
        <v>4695.22998046875</v>
      </c>
      <c r="BB17" s="2">
        <v>0</v>
      </c>
      <c r="BC17" s="3">
        <v>845.14139648437492</v>
      </c>
      <c r="BD17" s="3">
        <v>5540.371376953125</v>
      </c>
    </row>
    <row r="18" spans="1:56">
      <c r="A18" s="2">
        <v>2025</v>
      </c>
      <c r="B18" s="2">
        <v>6</v>
      </c>
      <c r="C18" s="2">
        <v>2</v>
      </c>
      <c r="D18" s="2">
        <v>803593</v>
      </c>
      <c r="E18" s="1" t="s">
        <v>103</v>
      </c>
      <c r="F18" s="1" t="s">
        <v>57</v>
      </c>
      <c r="G18" s="1" t="s">
        <v>73</v>
      </c>
      <c r="H18" s="1" t="s">
        <v>59</v>
      </c>
      <c r="I18" s="1" t="s">
        <v>104</v>
      </c>
      <c r="J18" s="1" t="s">
        <v>61</v>
      </c>
      <c r="K18" s="1" t="s">
        <v>62</v>
      </c>
      <c r="L18" s="1" t="s">
        <v>63</v>
      </c>
      <c r="M18" s="1" t="s">
        <v>64</v>
      </c>
      <c r="N18" s="1" t="s">
        <v>105</v>
      </c>
      <c r="O18" s="1" t="s">
        <v>66</v>
      </c>
      <c r="P18" s="2">
        <v>2</v>
      </c>
      <c r="Q18" s="2">
        <v>0</v>
      </c>
      <c r="R18" s="2">
        <v>0</v>
      </c>
      <c r="S18" s="2">
        <v>0</v>
      </c>
      <c r="T18" s="2">
        <v>2</v>
      </c>
      <c r="U18" s="2">
        <v>2</v>
      </c>
      <c r="V18" s="2">
        <v>1</v>
      </c>
      <c r="W18" s="2">
        <v>0</v>
      </c>
      <c r="X18" s="3">
        <v>5.4800000190734863</v>
      </c>
      <c r="Y18" s="2">
        <v>0</v>
      </c>
      <c r="Z18" s="2">
        <v>0</v>
      </c>
      <c r="AA18" s="2">
        <v>60</v>
      </c>
      <c r="AB18" s="2">
        <v>0</v>
      </c>
      <c r="AC18" s="2">
        <v>40</v>
      </c>
      <c r="AD18" s="2">
        <v>0</v>
      </c>
      <c r="AE18" s="3">
        <v>2.2999999523162842</v>
      </c>
      <c r="AF18" s="2">
        <v>0</v>
      </c>
      <c r="AG18" s="2">
        <v>0</v>
      </c>
      <c r="AH18" s="2">
        <v>0</v>
      </c>
      <c r="AI18" s="2">
        <v>0</v>
      </c>
      <c r="AJ18" s="2">
        <v>6</v>
      </c>
      <c r="AK18" s="2">
        <v>0</v>
      </c>
      <c r="AL18" s="2">
        <v>0</v>
      </c>
      <c r="AM18" s="2">
        <v>0</v>
      </c>
      <c r="AN18" s="3">
        <v>1.7156111001968384</v>
      </c>
      <c r="AO18" s="2">
        <v>0</v>
      </c>
      <c r="AP18" s="2">
        <v>0</v>
      </c>
      <c r="AQ18" s="2">
        <v>0</v>
      </c>
      <c r="AR18" s="1" t="s">
        <v>68</v>
      </c>
      <c r="AS18" s="2">
        <v>0</v>
      </c>
      <c r="AT18" s="1" t="s">
        <v>68</v>
      </c>
      <c r="AU18" s="3">
        <v>108.30000305175781</v>
      </c>
      <c r="AV18" s="3">
        <v>48.299999237060547</v>
      </c>
      <c r="AW18" s="3">
        <v>108.30000305175781</v>
      </c>
      <c r="AX18" s="3">
        <v>108.30000305175781</v>
      </c>
      <c r="AY18" s="3">
        <v>108.30000305175781</v>
      </c>
      <c r="AZ18" s="3">
        <v>4.8</v>
      </c>
      <c r="BA18" s="3">
        <v>113.10000305175781</v>
      </c>
      <c r="BB18" s="2">
        <v>0</v>
      </c>
      <c r="BC18" s="3">
        <v>20.358000549316404</v>
      </c>
      <c r="BD18" s="3">
        <v>133.45800360107421</v>
      </c>
    </row>
    <row r="19" spans="1:56">
      <c r="A19" s="2">
        <v>2025</v>
      </c>
      <c r="B19" s="2">
        <v>6</v>
      </c>
      <c r="C19" s="2">
        <v>2</v>
      </c>
      <c r="D19" s="2">
        <v>756144</v>
      </c>
      <c r="E19" s="1" t="s">
        <v>106</v>
      </c>
      <c r="F19" s="1" t="s">
        <v>57</v>
      </c>
      <c r="G19" s="1" t="s">
        <v>73</v>
      </c>
      <c r="H19" s="1" t="s">
        <v>59</v>
      </c>
      <c r="I19" s="1" t="s">
        <v>107</v>
      </c>
      <c r="J19" s="1" t="s">
        <v>61</v>
      </c>
      <c r="K19" s="1" t="s">
        <v>62</v>
      </c>
      <c r="L19" s="1" t="s">
        <v>63</v>
      </c>
      <c r="M19" s="1" t="s">
        <v>64</v>
      </c>
      <c r="N19" s="1" t="s">
        <v>108</v>
      </c>
      <c r="O19" s="1" t="s">
        <v>66</v>
      </c>
      <c r="P19" s="2">
        <v>161</v>
      </c>
      <c r="Q19" s="2">
        <v>4</v>
      </c>
      <c r="R19" s="2">
        <v>4</v>
      </c>
      <c r="S19" s="2">
        <v>107</v>
      </c>
      <c r="T19" s="2">
        <v>54</v>
      </c>
      <c r="U19" s="2">
        <v>165</v>
      </c>
      <c r="V19" s="2">
        <v>7</v>
      </c>
      <c r="W19" s="2">
        <v>0</v>
      </c>
      <c r="X19" s="3">
        <v>343.45001220703125</v>
      </c>
      <c r="Y19" s="2">
        <v>120</v>
      </c>
      <c r="Z19" s="2">
        <v>120</v>
      </c>
      <c r="AA19" s="2">
        <v>5070</v>
      </c>
      <c r="AB19" s="2">
        <v>220</v>
      </c>
      <c r="AC19" s="2">
        <v>0</v>
      </c>
      <c r="AD19" s="2">
        <v>0</v>
      </c>
      <c r="AE19" s="3">
        <v>75.5</v>
      </c>
      <c r="AF19" s="2">
        <v>2226</v>
      </c>
      <c r="AG19" s="2">
        <v>0</v>
      </c>
      <c r="AH19" s="2">
        <v>0</v>
      </c>
      <c r="AI19" s="2">
        <v>0</v>
      </c>
      <c r="AJ19" s="2">
        <v>165</v>
      </c>
      <c r="AK19" s="2">
        <v>0</v>
      </c>
      <c r="AL19" s="2">
        <v>500</v>
      </c>
      <c r="AM19" s="2">
        <v>0</v>
      </c>
      <c r="AN19" s="2">
        <v>54</v>
      </c>
      <c r="AO19" s="2">
        <v>0</v>
      </c>
      <c r="AP19" s="2">
        <v>0</v>
      </c>
      <c r="AQ19" s="2">
        <v>0</v>
      </c>
      <c r="AR19" s="1" t="s">
        <v>68</v>
      </c>
      <c r="AS19" s="2">
        <v>0</v>
      </c>
      <c r="AT19" s="1" t="s">
        <v>68</v>
      </c>
      <c r="AU19" s="3">
        <v>8256.5</v>
      </c>
      <c r="AV19" s="3">
        <v>3186.5</v>
      </c>
      <c r="AW19" s="3">
        <v>8256.5</v>
      </c>
      <c r="AX19" s="3">
        <v>8256.5</v>
      </c>
      <c r="AY19" s="3">
        <v>8256.5</v>
      </c>
      <c r="AZ19" s="3">
        <v>405.6</v>
      </c>
      <c r="BA19" s="3">
        <v>8662.1</v>
      </c>
      <c r="BB19" s="2">
        <v>0</v>
      </c>
      <c r="BC19" s="3">
        <v>1559.1780000000001</v>
      </c>
      <c r="BD19" s="3">
        <v>10221.278</v>
      </c>
    </row>
    <row r="20" spans="1:56">
      <c r="A20" s="2">
        <v>2025</v>
      </c>
      <c r="B20" s="2">
        <v>6</v>
      </c>
      <c r="C20" s="2">
        <v>2</v>
      </c>
      <c r="D20" s="2">
        <v>786490</v>
      </c>
      <c r="E20" s="1" t="s">
        <v>109</v>
      </c>
      <c r="F20" s="1" t="s">
        <v>57</v>
      </c>
      <c r="G20" s="1" t="s">
        <v>77</v>
      </c>
      <c r="H20" s="1" t="s">
        <v>59</v>
      </c>
      <c r="I20" s="1" t="s">
        <v>107</v>
      </c>
      <c r="J20" s="1" t="s">
        <v>61</v>
      </c>
      <c r="K20" s="1" t="s">
        <v>62</v>
      </c>
      <c r="L20" s="1" t="s">
        <v>63</v>
      </c>
      <c r="M20" s="1" t="s">
        <v>64</v>
      </c>
      <c r="N20" s="1" t="s">
        <v>110</v>
      </c>
      <c r="O20" s="1" t="s">
        <v>66</v>
      </c>
      <c r="P20" s="2">
        <v>173</v>
      </c>
      <c r="Q20" s="2">
        <v>2</v>
      </c>
      <c r="R20" s="2">
        <v>0</v>
      </c>
      <c r="S20" s="2">
        <v>127</v>
      </c>
      <c r="T20" s="2">
        <v>46</v>
      </c>
      <c r="U20" s="2">
        <v>173</v>
      </c>
      <c r="V20" s="2">
        <v>7</v>
      </c>
      <c r="W20" s="2">
        <v>0</v>
      </c>
      <c r="X20" s="3">
        <v>336.75</v>
      </c>
      <c r="Y20" s="2">
        <v>50</v>
      </c>
      <c r="Z20" s="2">
        <v>0</v>
      </c>
      <c r="AA20" s="2">
        <v>4375</v>
      </c>
      <c r="AB20" s="2">
        <v>250</v>
      </c>
      <c r="AC20" s="2">
        <v>0</v>
      </c>
      <c r="AD20" s="2">
        <v>0</v>
      </c>
      <c r="AE20" s="3">
        <v>77.75</v>
      </c>
      <c r="AF20" s="2">
        <v>2260</v>
      </c>
      <c r="AG20" s="2">
        <v>0</v>
      </c>
      <c r="AH20" s="2">
        <v>0</v>
      </c>
      <c r="AI20" s="2">
        <v>0</v>
      </c>
      <c r="AJ20" s="2">
        <v>141</v>
      </c>
      <c r="AK20" s="2">
        <v>0</v>
      </c>
      <c r="AL20" s="2">
        <v>500</v>
      </c>
      <c r="AM20" s="2">
        <v>0</v>
      </c>
      <c r="AN20" s="2">
        <v>51.002109527587891</v>
      </c>
      <c r="AO20" s="2">
        <v>0</v>
      </c>
      <c r="AP20" s="2">
        <v>0</v>
      </c>
      <c r="AQ20" s="2">
        <v>0</v>
      </c>
      <c r="AR20" s="1" t="s">
        <v>68</v>
      </c>
      <c r="AS20" s="2">
        <v>0</v>
      </c>
      <c r="AT20" s="1" t="s">
        <v>68</v>
      </c>
      <c r="AU20" s="3">
        <v>7603.75</v>
      </c>
      <c r="AV20" s="3">
        <v>3228.75</v>
      </c>
      <c r="AW20" s="3">
        <v>7603.75</v>
      </c>
      <c r="AX20" s="3">
        <v>7603.75</v>
      </c>
      <c r="AY20" s="3">
        <v>7603.75</v>
      </c>
      <c r="AZ20" s="3">
        <v>350</v>
      </c>
      <c r="BA20" s="3">
        <v>7953.75</v>
      </c>
      <c r="BB20" s="2">
        <v>0</v>
      </c>
      <c r="BC20" s="3">
        <v>1431.675</v>
      </c>
      <c r="BD20" s="3">
        <v>9385.4249999999993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D6" sqref="D6"/>
    </sheetView>
  </sheetViews>
  <sheetFormatPr defaultRowHeight="14.25"/>
  <cols>
    <col min="2" max="2" width="37.5" bestFit="1" customWidth="1"/>
    <col min="3" max="3" width="14.5" bestFit="1" customWidth="1"/>
    <col min="4" max="4" width="15.25" customWidth="1"/>
    <col min="9" max="9" width="8.375" bestFit="1" customWidth="1"/>
  </cols>
  <sheetData>
    <row r="1" spans="1:9" ht="42.75">
      <c r="A1" s="4" t="s">
        <v>3</v>
      </c>
      <c r="B1" s="4" t="s">
        <v>4</v>
      </c>
      <c r="C1" s="4" t="s">
        <v>15</v>
      </c>
      <c r="D1" s="4" t="s">
        <v>50</v>
      </c>
      <c r="E1" s="4" t="s">
        <v>111</v>
      </c>
      <c r="F1" s="4" t="s">
        <v>112</v>
      </c>
      <c r="G1" s="4" t="s">
        <v>115</v>
      </c>
      <c r="H1" s="4" t="s">
        <v>113</v>
      </c>
      <c r="I1" s="4" t="s">
        <v>114</v>
      </c>
    </row>
    <row r="2" spans="1:9">
      <c r="A2" s="5">
        <v>735193</v>
      </c>
      <c r="B2" s="6" t="s">
        <v>56</v>
      </c>
      <c r="C2" s="5">
        <v>44</v>
      </c>
      <c r="D2" s="7">
        <v>1666.949951171875</v>
      </c>
      <c r="E2" s="8">
        <v>0</v>
      </c>
      <c r="F2" s="8">
        <v>1400</v>
      </c>
      <c r="G2" s="8">
        <v>1320</v>
      </c>
      <c r="H2" s="8">
        <f>((D2-E2-F2-G2)*0.01)</f>
        <v>-10.53050048828125</v>
      </c>
      <c r="I2" s="9">
        <f>D2-E2-F2-G2-H2</f>
        <v>-1042.5195483398438</v>
      </c>
    </row>
    <row r="3" spans="1:9">
      <c r="A3" s="5">
        <v>744645</v>
      </c>
      <c r="B3" s="6" t="s">
        <v>69</v>
      </c>
      <c r="C3" s="5">
        <v>0</v>
      </c>
      <c r="D3" s="5">
        <v>499</v>
      </c>
      <c r="E3" s="8">
        <v>0</v>
      </c>
      <c r="F3" s="8">
        <v>499</v>
      </c>
      <c r="G3" s="8">
        <v>0</v>
      </c>
      <c r="H3" s="8">
        <f t="shared" ref="H3:H20" si="0">((D3-E3-F3-G3)*0.01)</f>
        <v>0</v>
      </c>
      <c r="I3" s="9">
        <f t="shared" ref="I3:I20" si="1">D3-E3-F3-G3-H3</f>
        <v>0</v>
      </c>
    </row>
    <row r="4" spans="1:9">
      <c r="A4" s="5">
        <v>753406</v>
      </c>
      <c r="B4" s="6" t="s">
        <v>71</v>
      </c>
      <c r="C4" s="5">
        <v>101</v>
      </c>
      <c r="D4" s="7">
        <v>6048.5498046875</v>
      </c>
      <c r="E4" s="8">
        <v>1000</v>
      </c>
      <c r="F4" s="8">
        <v>0</v>
      </c>
      <c r="G4" s="8">
        <v>1540</v>
      </c>
      <c r="H4" s="8">
        <f t="shared" si="0"/>
        <v>35.085498046875003</v>
      </c>
      <c r="I4" s="9">
        <f t="shared" si="1"/>
        <v>3473.4643066406252</v>
      </c>
    </row>
    <row r="5" spans="1:9">
      <c r="A5" s="5">
        <v>784832</v>
      </c>
      <c r="B5" s="6" t="s">
        <v>72</v>
      </c>
      <c r="C5" s="5">
        <v>165</v>
      </c>
      <c r="D5" s="7">
        <v>8694.5498046875</v>
      </c>
      <c r="E5" s="8">
        <v>1000</v>
      </c>
      <c r="F5" s="8">
        <v>0</v>
      </c>
      <c r="G5" s="8">
        <v>1540</v>
      </c>
      <c r="H5" s="8">
        <f t="shared" si="0"/>
        <v>61.545498046875004</v>
      </c>
      <c r="I5" s="9">
        <f t="shared" si="1"/>
        <v>6093.0043066406251</v>
      </c>
    </row>
    <row r="6" spans="1:9">
      <c r="A6" s="5">
        <v>799654</v>
      </c>
      <c r="B6" s="6" t="s">
        <v>76</v>
      </c>
      <c r="C6" s="5">
        <v>148</v>
      </c>
      <c r="D6" s="7">
        <v>6569.5498046875</v>
      </c>
      <c r="E6" s="8">
        <v>0</v>
      </c>
      <c r="F6" s="8">
        <v>0</v>
      </c>
      <c r="G6" s="8">
        <v>1540</v>
      </c>
      <c r="H6" s="8">
        <f t="shared" si="0"/>
        <v>50.295498046875004</v>
      </c>
      <c r="I6" s="9">
        <f t="shared" si="1"/>
        <v>4979.2543066406251</v>
      </c>
    </row>
    <row r="7" spans="1:9">
      <c r="A7" s="5">
        <v>801066</v>
      </c>
      <c r="B7" s="6" t="s">
        <v>78</v>
      </c>
      <c r="C7" s="5">
        <v>34</v>
      </c>
      <c r="D7" s="7">
        <v>1001.6500244140625</v>
      </c>
      <c r="E7" s="8">
        <v>0</v>
      </c>
      <c r="F7" s="8">
        <v>0</v>
      </c>
      <c r="G7" s="8">
        <v>1100</v>
      </c>
      <c r="H7" s="8">
        <f t="shared" si="0"/>
        <v>-0.98349975585937499</v>
      </c>
      <c r="I7" s="9">
        <f t="shared" si="1"/>
        <v>-97.36647583007813</v>
      </c>
    </row>
    <row r="8" spans="1:9">
      <c r="A8" s="5">
        <v>801108</v>
      </c>
      <c r="B8" s="6" t="s">
        <v>79</v>
      </c>
      <c r="C8" s="5">
        <v>5</v>
      </c>
      <c r="D8" s="7">
        <v>143.75</v>
      </c>
      <c r="E8" s="8">
        <v>0</v>
      </c>
      <c r="F8" s="8">
        <v>0</v>
      </c>
      <c r="G8" s="8">
        <v>0</v>
      </c>
      <c r="H8" s="8">
        <f t="shared" si="0"/>
        <v>1.4375</v>
      </c>
      <c r="I8" s="9">
        <f t="shared" si="1"/>
        <v>142.3125</v>
      </c>
    </row>
    <row r="9" spans="1:9">
      <c r="A9" s="5">
        <v>793831</v>
      </c>
      <c r="B9" s="6" t="s">
        <v>80</v>
      </c>
      <c r="C9" s="5">
        <v>112</v>
      </c>
      <c r="D9" s="7">
        <v>5419.35009765625</v>
      </c>
      <c r="E9" s="8">
        <v>0</v>
      </c>
      <c r="F9" s="8">
        <v>0</v>
      </c>
      <c r="G9" s="8">
        <v>1540</v>
      </c>
      <c r="H9" s="8">
        <f t="shared" si="0"/>
        <v>38.793500976562498</v>
      </c>
      <c r="I9" s="9">
        <f t="shared" si="1"/>
        <v>3840.5565966796876</v>
      </c>
    </row>
    <row r="10" spans="1:9">
      <c r="A10" s="5">
        <v>741275</v>
      </c>
      <c r="B10" s="6" t="s">
        <v>83</v>
      </c>
      <c r="C10" s="5">
        <v>176</v>
      </c>
      <c r="D10" s="7">
        <v>12655.5</v>
      </c>
      <c r="E10" s="8">
        <v>0</v>
      </c>
      <c r="F10" s="8">
        <v>0</v>
      </c>
      <c r="G10" s="8">
        <v>1540</v>
      </c>
      <c r="H10" s="8">
        <f t="shared" si="0"/>
        <v>111.155</v>
      </c>
      <c r="I10" s="9">
        <f t="shared" si="1"/>
        <v>11004.344999999999</v>
      </c>
    </row>
    <row r="11" spans="1:9">
      <c r="A11" s="5">
        <v>793343</v>
      </c>
      <c r="B11" s="6" t="s">
        <v>87</v>
      </c>
      <c r="C11" s="5">
        <v>113</v>
      </c>
      <c r="D11" s="7">
        <v>7377.85009765625</v>
      </c>
      <c r="E11" s="8">
        <v>0</v>
      </c>
      <c r="F11" s="8">
        <v>0</v>
      </c>
      <c r="G11" s="8">
        <v>1540</v>
      </c>
      <c r="H11" s="8">
        <f t="shared" si="0"/>
        <v>58.378500976562499</v>
      </c>
      <c r="I11" s="9">
        <f t="shared" si="1"/>
        <v>5779.4715966796875</v>
      </c>
    </row>
    <row r="12" spans="1:9">
      <c r="A12" s="5">
        <v>784299</v>
      </c>
      <c r="B12" s="6" t="s">
        <v>89</v>
      </c>
      <c r="C12" s="5">
        <v>19</v>
      </c>
      <c r="D12" s="7">
        <v>703.79998779296875</v>
      </c>
      <c r="E12" s="8">
        <v>0</v>
      </c>
      <c r="F12" s="8">
        <v>0</v>
      </c>
      <c r="G12" s="8">
        <v>880</v>
      </c>
      <c r="H12" s="8">
        <f t="shared" si="0"/>
        <v>-1.7620001220703125</v>
      </c>
      <c r="I12" s="9">
        <f t="shared" si="1"/>
        <v>-174.43801208496095</v>
      </c>
    </row>
    <row r="13" spans="1:9">
      <c r="A13" s="5">
        <v>757911</v>
      </c>
      <c r="B13" s="6" t="s">
        <v>92</v>
      </c>
      <c r="C13" s="5">
        <v>236</v>
      </c>
      <c r="D13" s="7">
        <v>10466.9501953125</v>
      </c>
      <c r="E13" s="8">
        <v>2000</v>
      </c>
      <c r="F13" s="8">
        <v>0</v>
      </c>
      <c r="G13" s="8">
        <v>1400</v>
      </c>
      <c r="H13" s="8">
        <f t="shared" si="0"/>
        <v>70.669501953125007</v>
      </c>
      <c r="I13" s="9">
        <f t="shared" si="1"/>
        <v>6996.2806933593747</v>
      </c>
    </row>
    <row r="14" spans="1:9">
      <c r="A14" s="5">
        <v>763173</v>
      </c>
      <c r="B14" s="6" t="s">
        <v>95</v>
      </c>
      <c r="C14" s="5">
        <v>91</v>
      </c>
      <c r="D14" s="7">
        <v>5917.5</v>
      </c>
      <c r="E14" s="8">
        <v>0</v>
      </c>
      <c r="F14" s="8">
        <v>0</v>
      </c>
      <c r="G14" s="8">
        <v>1540</v>
      </c>
      <c r="H14" s="8">
        <f t="shared" si="0"/>
        <v>43.774999999999999</v>
      </c>
      <c r="I14" s="9">
        <f t="shared" si="1"/>
        <v>4333.7250000000004</v>
      </c>
    </row>
    <row r="15" spans="1:9">
      <c r="A15" s="5">
        <v>801751</v>
      </c>
      <c r="B15" s="6" t="s">
        <v>96</v>
      </c>
      <c r="C15" s="5">
        <v>13</v>
      </c>
      <c r="D15" s="5">
        <v>570</v>
      </c>
      <c r="E15" s="8">
        <v>0</v>
      </c>
      <c r="F15" s="8">
        <v>0</v>
      </c>
      <c r="G15" s="8">
        <v>440</v>
      </c>
      <c r="H15" s="8">
        <f t="shared" si="0"/>
        <v>1.3</v>
      </c>
      <c r="I15" s="9">
        <f t="shared" si="1"/>
        <v>128.69999999999999</v>
      </c>
    </row>
    <row r="16" spans="1:9">
      <c r="A16" s="5">
        <v>799957</v>
      </c>
      <c r="B16" s="6" t="s">
        <v>97</v>
      </c>
      <c r="C16" s="5">
        <v>52</v>
      </c>
      <c r="D16" s="7">
        <v>1762.5</v>
      </c>
      <c r="E16" s="8">
        <v>0</v>
      </c>
      <c r="F16" s="8">
        <v>0</v>
      </c>
      <c r="G16" s="8">
        <v>0</v>
      </c>
      <c r="H16" s="8">
        <f t="shared" si="0"/>
        <v>17.625</v>
      </c>
      <c r="I16" s="9">
        <f t="shared" si="1"/>
        <v>1744.875</v>
      </c>
    </row>
    <row r="17" spans="1:9">
      <c r="A17" s="5">
        <v>780996</v>
      </c>
      <c r="B17" s="6" t="s">
        <v>100</v>
      </c>
      <c r="C17" s="5">
        <v>99</v>
      </c>
      <c r="D17" s="7">
        <v>4493.22998046875</v>
      </c>
      <c r="E17" s="8">
        <v>0</v>
      </c>
      <c r="F17" s="8">
        <v>0</v>
      </c>
      <c r="G17" s="8">
        <v>1540</v>
      </c>
      <c r="H17" s="8">
        <f t="shared" si="0"/>
        <v>29.532299804687501</v>
      </c>
      <c r="I17" s="9">
        <f t="shared" si="1"/>
        <v>2923.6976806640623</v>
      </c>
    </row>
    <row r="18" spans="1:9">
      <c r="A18" s="5">
        <v>803593</v>
      </c>
      <c r="B18" s="6" t="s">
        <v>103</v>
      </c>
      <c r="C18" s="5">
        <v>2</v>
      </c>
      <c r="D18" s="7">
        <v>108.30000305175781</v>
      </c>
      <c r="E18" s="8">
        <v>0</v>
      </c>
      <c r="F18" s="8">
        <v>0</v>
      </c>
      <c r="G18" s="8">
        <v>220</v>
      </c>
      <c r="H18" s="8">
        <f t="shared" si="0"/>
        <v>-1.116999969482422</v>
      </c>
      <c r="I18" s="9">
        <f t="shared" si="1"/>
        <v>-110.58299697875977</v>
      </c>
    </row>
    <row r="19" spans="1:9">
      <c r="A19" s="5">
        <v>756144</v>
      </c>
      <c r="B19" s="6" t="s">
        <v>106</v>
      </c>
      <c r="C19" s="5">
        <v>161</v>
      </c>
      <c r="D19" s="7">
        <v>8256.5</v>
      </c>
      <c r="E19" s="8">
        <v>0</v>
      </c>
      <c r="F19" s="8">
        <v>0</v>
      </c>
      <c r="G19" s="8">
        <v>1540</v>
      </c>
      <c r="H19" s="8">
        <f t="shared" si="0"/>
        <v>67.165000000000006</v>
      </c>
      <c r="I19" s="9">
        <f t="shared" si="1"/>
        <v>6649.335</v>
      </c>
    </row>
    <row r="20" spans="1:9">
      <c r="A20" s="5">
        <v>786490</v>
      </c>
      <c r="B20" s="6" t="s">
        <v>109</v>
      </c>
      <c r="C20" s="5">
        <v>173</v>
      </c>
      <c r="D20" s="7">
        <v>7603.75</v>
      </c>
      <c r="E20" s="8">
        <v>0</v>
      </c>
      <c r="F20" s="8">
        <v>0</v>
      </c>
      <c r="G20" s="8">
        <v>1540</v>
      </c>
      <c r="H20" s="8">
        <f t="shared" si="0"/>
        <v>60.637500000000003</v>
      </c>
      <c r="I20" s="9">
        <f t="shared" si="1"/>
        <v>6003.1125000000002</v>
      </c>
    </row>
  </sheetData>
  <autoFilter ref="A1:I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HP</cp:lastModifiedBy>
  <dcterms:created xsi:type="dcterms:W3CDTF">2025-06-17T09:27:33Z</dcterms:created>
  <dcterms:modified xsi:type="dcterms:W3CDTF">2025-06-30T10:23:47Z</dcterms:modified>
</cp:coreProperties>
</file>