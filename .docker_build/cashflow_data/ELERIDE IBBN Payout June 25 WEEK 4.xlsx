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455" activeTab="2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_FilterDatabase" localSheetId="2" hidden="1">Sheet2!$A$1:$J$21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" i="2"/>
  <c r="J2" i="2" s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<sst xmlns="http://schemas.openxmlformats.org/spreadsheetml/2006/main" count="670" uniqueCount="245">
  <si>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</si>
  <si>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</si>
  <si>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</si>
  <si>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</si>
  <si>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</si>
  <si>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</si>
  <si>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</si>
  <si>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</si>
  <si>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</si>
  <si>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</si>
  <si>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MG STATUS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</si>
  <si>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</si>
  <si>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</si>
  <si>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</si>
  <si>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</si>
  <si>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</si>
  <si>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</si>
  <si>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</si>
  <si>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</si>
  <si>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</si>
  <si>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</si>
  <si>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</si>
  <si>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</si>
  <si>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</si>
  <si>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</si>
  <si>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</si>
  <si>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</si>
  <si>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</si>
  <si>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</si>
  <si>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</si>
  <si>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</si>
  <si>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</si>
  <si>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</si>
  <si>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</si>
  <si>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</si>
  <si>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</si>
  <si>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</si>
  <si>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</si>
  <si>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</si>
  <si>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</si>
  <si>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</si>
  <si>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</si>
  <si>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</si>
  <si>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</si>
  <si>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</si>
  <si>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</si>
  <si>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</si>
  <si>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</si>
  <si>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</si>
  <si>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</si>
  <si>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</si>
  <si>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</si>
  <si>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</si>
  <si>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</si>
  <si>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</si>
  <si>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</si>
  <si>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</si>
  <si>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internal_gst</t>
  </si>
  <si>
    <t>final_with_gst</t>
  </si>
  <si>
    <t>final_with_internal_gst</t>
  </si>
  <si>
    <t>cost_per_order</t>
  </si>
  <si>
    <t>payment_status</t>
  </si>
  <si>
    <t>approval_status</t>
  </si>
  <si>
    <t>bank_account_name</t>
  </si>
  <si>
    <t>bank_account_number</t>
  </si>
  <si>
    <t>ifsc</t>
  </si>
  <si>
    <t>bank_name</t>
  </si>
  <si>
    <t>date_of_joining</t>
  </si>
  <si>
    <t>manual_cash_adjustment</t>
  </si>
  <si>
    <t>auto_cash_adjustment</t>
  </si>
  <si>
    <t>total_cash_adjustment</t>
  </si>
  <si>
    <t>final_with_gst_minus_settlement</t>
  </si>
  <si>
    <t>total_with_management_fee_minus_adjusted_cash</t>
  </si>
  <si>
    <t>modified_date</t>
  </si>
  <si>
    <t>SATISHSAWARKAR</t>
  </si>
  <si>
    <t>TPL CEE</t>
  </si>
  <si>
    <t>EV</t>
  </si>
  <si>
    <t>KVQPS0389D</t>
  </si>
  <si>
    <t>PUNE</t>
  </si>
  <si>
    <t>T1EX-PUN-BANER</t>
  </si>
  <si>
    <t>Service Fees</t>
  </si>
  <si>
    <t>INTEGRATED</t>
  </si>
  <si>
    <t>ELERIDE MOBILITY SOLUTIONS PVT LTD</t>
  </si>
  <si>
    <t>BIKE</t>
  </si>
  <si>
    <t>INTEGRATED-IBBN-RC-011702-8</t>
  </si>
  <si>
    <t>7 DAYS</t>
  </si>
  <si>
    <t/>
  </si>
  <si>
    <t>Ready To Pay</t>
  </si>
  <si>
    <t>Draft</t>
  </si>
  <si>
    <t>SATISH NANDKISHOR SAWARKAR</t>
  </si>
  <si>
    <t>621702010009022</t>
  </si>
  <si>
    <t>UBIN0562173</t>
  </si>
  <si>
    <t>UNION BANK OF INDIA</t>
  </si>
  <si>
    <t>ARYANVIRAGE</t>
  </si>
  <si>
    <t>NEV</t>
  </si>
  <si>
    <t>CWYPV7557B</t>
  </si>
  <si>
    <t>T1EX-PUN-NIGDI</t>
  </si>
  <si>
    <t>INTEGRATED-IBBN-RC-012082-9</t>
  </si>
  <si>
    <t>ARYAN SACHIN VAIRAGI</t>
  </si>
  <si>
    <t>070818210014528</t>
  </si>
  <si>
    <t>BKID0000708</t>
  </si>
  <si>
    <t>BANK OF INDIA</t>
  </si>
  <si>
    <t>MANJURULLAHKHAN ELERIDE</t>
  </si>
  <si>
    <t>CSCPK8363C</t>
  </si>
  <si>
    <t>BSPUN-HINJEWADI-GS1</t>
  </si>
  <si>
    <t>INTEGRATED-IBBN-RC-008582-20</t>
  </si>
  <si>
    <t>PREVIOUS PAYOUT EXTRA AMOUNT</t>
  </si>
  <si>
    <t>MANJUR ULLAH KHAN</t>
  </si>
  <si>
    <t>924010043095487</t>
  </si>
  <si>
    <t>UTIB0000168</t>
  </si>
  <si>
    <t>AXIS BANK</t>
  </si>
  <si>
    <t>AMANJAISWAL</t>
  </si>
  <si>
    <t>LSV</t>
  </si>
  <si>
    <t>DBSPJ8374J</t>
  </si>
  <si>
    <t>BSPUN-KSQARE-BANER-BS1</t>
  </si>
  <si>
    <t>INTEGRATED-IBBN-RC-009926-17</t>
  </si>
  <si>
    <t>IBND DEDUCTION</t>
  </si>
  <si>
    <t>AMAN KUMAR JAISWAL</t>
  </si>
  <si>
    <t>750302010016829</t>
  </si>
  <si>
    <t>UBIN0575038</t>
  </si>
  <si>
    <t>PRASHANTSWAMI</t>
  </si>
  <si>
    <t>BRSPS1662L</t>
  </si>
  <si>
    <t>T1EX-PUN-LOHEGAON</t>
  </si>
  <si>
    <t>INTEGRATED-IBBN-RC-008558-14</t>
  </si>
  <si>
    <t>PRASHANT PRAKASH SWAMI</t>
  </si>
  <si>
    <t>80090100003225</t>
  </si>
  <si>
    <t>BARB0VJLOHE</t>
  </si>
  <si>
    <t>BANK OF BARODA</t>
  </si>
  <si>
    <t>NAVEENKUMAR</t>
  </si>
  <si>
    <t>T1EX-PUN-KHARADI</t>
  </si>
  <si>
    <t>INTEGRATED-IBBN-RC-013441-6</t>
  </si>
  <si>
    <t>MANJEETBHARTI</t>
  </si>
  <si>
    <t>HJRPB3566B</t>
  </si>
  <si>
    <t>INTEGRATED-IBBN-RC-012083-11</t>
  </si>
  <si>
    <t>PENALTY - LATE REPORTING</t>
  </si>
  <si>
    <t>MANJEET BHARTI</t>
  </si>
  <si>
    <t>0548333349</t>
  </si>
  <si>
    <t>KKBK0001757</t>
  </si>
  <si>
    <t>KOTAK MAHINDRA BANK</t>
  </si>
  <si>
    <t>MANGESH JADHAO8010197548</t>
  </si>
  <si>
    <t>T1EX-PUN-WAGHOLI</t>
  </si>
  <si>
    <t>INTEGRATED-IBBN-RC-009586-14</t>
  </si>
  <si>
    <t>SAURABHKANK</t>
  </si>
  <si>
    <t>LEAPK2964N</t>
  </si>
  <si>
    <t>INTEGRATED-IBBN-RC-008583-19</t>
  </si>
  <si>
    <t>SAURABH KISHOR KANK</t>
  </si>
  <si>
    <t>48960100002806</t>
  </si>
  <si>
    <t>BARB0MANGAO</t>
  </si>
  <si>
    <t>ABHISHEK SANANSE9604469167</t>
  </si>
  <si>
    <t>QKQPS1121C</t>
  </si>
  <si>
    <t>ABHISHEK PRAMOD SANANSE</t>
  </si>
  <si>
    <t>6249638196</t>
  </si>
  <si>
    <t>KKBK0001793</t>
  </si>
  <si>
    <t>SANTOSHKENDRE</t>
  </si>
  <si>
    <t>NVDPK0642H</t>
  </si>
  <si>
    <t>BSPUN-WAKAD-BS1</t>
  </si>
  <si>
    <t>INTEGRATED-IBBN-RC-009937-16</t>
  </si>
  <si>
    <t>MR. SANTOSH SHIVRAJ KENDRE</t>
  </si>
  <si>
    <t>42329481429</t>
  </si>
  <si>
    <t>SBIN0020040</t>
  </si>
  <si>
    <t>STATE BANK OF INDIA</t>
  </si>
  <si>
    <t>T1EX-PUN-MOSHI</t>
  </si>
  <si>
    <t>INTEGRATED-IBBN-RC-010615-13</t>
  </si>
  <si>
    <t>SANTOSH NAYASE7517557492</t>
  </si>
  <si>
    <t>CPCPN5101E</t>
  </si>
  <si>
    <t>INTEGRATED-IBBN-RC-009587-15</t>
  </si>
  <si>
    <t>SANTOSH AMBADAS NAYSE</t>
  </si>
  <si>
    <t>4050174360</t>
  </si>
  <si>
    <t>DAYANANDLONDHE</t>
  </si>
  <si>
    <t>BKQPL7832J</t>
  </si>
  <si>
    <t>DAYANAND BHARAT LONDHE</t>
  </si>
  <si>
    <t>4646561635</t>
  </si>
  <si>
    <t>KKBK0000725</t>
  </si>
  <si>
    <t>SACHIN NAYASE7350987782</t>
  </si>
  <si>
    <t>TAPASH KUMAR SAHAELERIDE</t>
  </si>
  <si>
    <t>ROHAN SUDHKAR CHAVANELRD  BREAK</t>
  </si>
  <si>
    <t>NIKHIL RAJU GUPTELERIDE BREAK</t>
  </si>
  <si>
    <t>INTEGRATED-IBBN-RC-009931-17</t>
  </si>
  <si>
    <t>INCORRECT ORDER ACKNOWLEDGEMENT PROCESS DEVIATION, INCORRECT ORDER ACKNOWLEDGEMENT PROCESS DEVIATION, INCORRECT ORDER ACKNOWLEDGEMENT PROCESS DEVIATION</t>
  </si>
  <si>
    <t>ELERIDEAMAN JADHAV</t>
  </si>
  <si>
    <t>BSPUN-JAGDISHNAGAR-BS2</t>
  </si>
  <si>
    <t>INTEGRATED-IBBN-RC-009659-13</t>
  </si>
  <si>
    <t>ELERIDEFIRSTDHAMMPAL AVHAD</t>
  </si>
  <si>
    <t>Advance</t>
  </si>
  <si>
    <t>Negative</t>
  </si>
  <si>
    <t>Rental</t>
  </si>
  <si>
    <t>PAY</t>
  </si>
  <si>
    <t>Final PAY</t>
  </si>
  <si>
    <t>BB_PAY</t>
  </si>
  <si>
    <t>H</t>
  </si>
  <si>
    <t>02/07/2025</t>
  </si>
  <si>
    <t>34610710</t>
  </si>
  <si>
    <t>D</t>
  </si>
  <si>
    <t>N06</t>
  </si>
  <si>
    <t>120627000000020</t>
  </si>
  <si>
    <t>ELERIDE MOBILITY</t>
  </si>
  <si>
    <t>UTIB0000338</t>
  </si>
  <si>
    <t>0207001</t>
  </si>
  <si>
    <t>0207002</t>
  </si>
  <si>
    <t>0207003</t>
  </si>
  <si>
    <t>0207004</t>
  </si>
  <si>
    <t>0207005</t>
  </si>
  <si>
    <t>0207006</t>
  </si>
  <si>
    <t>0207007</t>
  </si>
  <si>
    <t>0207008</t>
  </si>
  <si>
    <t>0207009</t>
  </si>
  <si>
    <t>0207010</t>
  </si>
  <si>
    <t>0207011</t>
  </si>
  <si>
    <t>0207012</t>
  </si>
  <si>
    <t>0207013</t>
  </si>
  <si>
    <t>0207014</t>
  </si>
  <si>
    <t>0207015</t>
  </si>
  <si>
    <t>0207016</t>
  </si>
  <si>
    <t>Week-4 BB Salary</t>
  </si>
  <si>
    <t>F</t>
  </si>
  <si>
    <t>MAHB0001261</t>
  </si>
  <si>
    <t>Vikas Maruti Jadhav</t>
  </si>
  <si>
    <t>PUNB0177600</t>
  </si>
  <si>
    <t>1776001700036318</t>
  </si>
  <si>
    <t>Aman Singh</t>
  </si>
  <si>
    <t>SBIN0017208</t>
  </si>
  <si>
    <t>MONUJ RAJKONWAR</t>
  </si>
  <si>
    <t>ROHAN SUDHKAR CHAVAN</t>
  </si>
  <si>
    <t>SACHIN NAYASE</t>
  </si>
  <si>
    <t>SANTOSH NAYASE</t>
  </si>
  <si>
    <t>SBIN0000419</t>
  </si>
  <si>
    <t>ABHISHEK SANANSE</t>
  </si>
  <si>
    <t>MANGESH JADHAO</t>
  </si>
  <si>
    <t>AMAN JAISWAL</t>
  </si>
  <si>
    <t>PRASHANT SWAMI</t>
  </si>
  <si>
    <t>ARYAN VIRAGE</t>
  </si>
  <si>
    <t xml:space="preserve">MANJURULLAH KHAN </t>
  </si>
  <si>
    <t>BARB0MANGA0</t>
  </si>
  <si>
    <t>SANTOSH KENDRE</t>
  </si>
  <si>
    <t>SBIN0003359</t>
  </si>
  <si>
    <t>SBIN0003327</t>
  </si>
  <si>
    <t>SHUBHANGI SAVARKAR</t>
  </si>
  <si>
    <t>BKID000708</t>
  </si>
  <si>
    <t>Row Labels</t>
  </si>
  <si>
    <t>(blank)</t>
  </si>
  <si>
    <t>Grand Total</t>
  </si>
  <si>
    <t>Sum of delivered_orders</t>
  </si>
  <si>
    <t>Sum of total_with_arrears_and_deductions</t>
  </si>
  <si>
    <t>Sum of management_fee</t>
  </si>
  <si>
    <t>Sum of total_with_management_fee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</si>
</sst>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"/>
    <numFmt numFmtId="165" formatCode="###0.##"/>
    <numFmt numFmtId="166" formatCode="mmm\ d\,\ yyyy"/>
    <numFmt numFmtId="167" formatCode="mmm\ d\,\ yyyy\,\ hh:mm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2" fontId="2" fillId="0" borderId="1" xfId="0" applyNumberFormat="1" applyFont="1" applyBorder="1"/>
    <xf numFmtId="2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49" fontId="2" fillId="0" borderId="0" xfId="0" quotePrefix="1" applyNumberFormat="1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1" fontId="2" fillId="0" borderId="0" xfId="0" quotePrefix="1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2" fillId="0" borderId="0" xfId="0" quotePrefix="1" applyFont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 vertical="center"/>
    </xf>
    <xf numFmtId="1" fontId="3" fillId="0" borderId="0" xfId="0" applyNumberFormat="1" applyFont="1" applyBorder="1" applyAlignment="1">
      <alignment horizontal="right" vertical="center"/>
    </xf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41.641905671298" createdVersion="5" refreshedVersion="5" minRefreshableVersion="3" recordCount="21">
  <cacheSource type="worksheet">
    <worksheetSource ref="A1:BV1048576" sheet="Sheet1"/>
  </cacheSource>
  <cacheFields count="74"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6" maxValue="6"/>
    </cacheField>
    <cacheField name="week" numFmtId="0">
      <sharedItems containsString="0" containsBlank="1" containsNumber="1" containsInteger="1" minValue="4" maxValue="4"/>
    </cacheField>
    <cacheField name="cee_id" numFmtId="0">
      <sharedItems containsString="0" containsBlank="1" containsNumber="1" containsInteger="1" minValue="735193" maxValue="810447"/>
    </cacheField>
    <cacheField name="cee_name" numFmtId="0">
      <sharedItems containsBlank="1"/>
    </cacheField>
    <cacheField name="cee_employment_category" numFmtId="0">
      <sharedItems containsBlank="1"/>
    </cacheField>
    <cacheField name="cee_category" numFmtId="0">
      <sharedItems containsBlank="1"/>
    </cacheField>
    <cacheField name="pan" numFmtId="0">
      <sharedItems containsBlank="1"/>
    </cacheField>
    <cacheField name="city" numFmtId="0">
      <sharedItems containsBlank="1"/>
    </cacheField>
    <cacheField name="store" numFmtId="0">
      <sharedItems containsBlank="1" count="11">
        <s v="T1EX-PUN-BANER"/>
        <s v="T1EX-PUN-NIGDI"/>
        <s v="BSPUN-HINJEWADI-GS1"/>
        <s v="BSPUN-KSQARE-BANER-BS1"/>
        <s v="T1EX-PUN-LOHEGAON"/>
        <s v="T1EX-PUN-KHARADI"/>
        <s v="T1EX-PUN-WAGHOLI"/>
        <s v="BSPUN-WAKAD-BS1"/>
        <s v="T1EX-PUN-MOSHI"/>
        <s v="BSPUN-JAGDISHNAGAR-BS2"/>
        <m/>
      </sharedItems>
    </cacheField>
    <cacheField name="MG STATUS" numFmtId="0">
      <sharedItems containsBlank="1"/>
    </cacheField>
    <cacheField name="store_type" numFmtId="0">
      <sharedItems containsBlank="1"/>
    </cacheField>
    <cacheField name="lmd_provider" numFmtId="0">
      <sharedItems containsBlank="1"/>
    </cacheField>
    <cacheField name="delivery_mode" numFmtId="0">
      <sharedItems containsBlank="1"/>
    </cacheField>
    <cacheField name="rate_card_id" numFmtId="0">
      <sharedItems containsBlank="1"/>
    </cacheField>
    <cacheField name="settlement_frequency" numFmtId="0">
      <sharedItems containsBlank="1"/>
    </cacheField>
    <cacheField name="delivered_orders" numFmtId="0">
      <sharedItems containsString="0" containsBlank="1" containsNumber="1" containsInteger="1" minValue="1" maxValue="270"/>
    </cacheField>
    <cacheField name="cancelled_orders" numFmtId="0">
      <sharedItems containsString="0" containsBlank="1" containsNumber="1" containsInteger="1" minValue="0" maxValue="5"/>
    </cacheField>
    <cacheField name="pickup_orders" numFmtId="0">
      <sharedItems containsString="0" containsBlank="1" containsNumber="1" containsInteger="1" minValue="0" maxValue="4"/>
    </cacheField>
    <cacheField name="weekday_orders" numFmtId="0">
      <sharedItems containsString="0" containsBlank="1" containsNumber="1" containsInteger="1" minValue="0" maxValue="175"/>
    </cacheField>
    <cacheField name="weekend_orders" numFmtId="0">
      <sharedItems containsString="0" containsBlank="1" containsNumber="1" containsInteger="1" minValue="0" maxValue="95"/>
    </cacheField>
    <cacheField name="incentivised_orders" numFmtId="0">
      <sharedItems containsString="0" containsBlank="1" containsNumber="1" containsInteger="1" minValue="1" maxValue="270"/>
    </cacheField>
    <cacheField name="attendance" numFmtId="0">
      <sharedItems containsString="0" containsBlank="1" containsNumber="1" containsInteger="1" minValue="1" maxValue="9"/>
    </cacheField>
    <cacheField name="month_attendance" numFmtId="0">
      <sharedItems containsString="0" containsBlank="1" containsNumber="1" containsInteger="1" minValue="1" maxValue="30"/>
    </cacheField>
    <cacheField name="distance" numFmtId="0">
      <sharedItems containsString="0" containsBlank="1" containsNumber="1" minValue="1.6499999761581421" maxValue="712.739990234375"/>
    </cacheField>
    <cacheField name="weekday_normal_order_payout" numFmtId="0">
      <sharedItems containsString="0" containsBlank="1" containsNumber="1" containsInteger="1" minValue="0" maxValue="0"/>
    </cacheField>
    <cacheField name="cancelled_order_payout" numFmtId="0">
      <sharedItems containsString="0" containsBlank="1" containsNumber="1" containsInteger="1" minValue="0" maxValue="90"/>
    </cacheField>
    <cacheField name="pickup_order_payout" numFmtId="0">
      <sharedItems containsString="0" containsBlank="1" containsNumber="1" containsInteger="1" minValue="0" maxValue="100"/>
    </cacheField>
    <cacheField name="order_base_payout" numFmtId="0">
      <sharedItems containsString="0" containsBlank="1" containsNumber="1" containsInteger="1" minValue="25" maxValue="6825"/>
    </cacheField>
    <cacheField name="surge_payout" numFmtId="0">
      <sharedItems containsString="0" containsBlank="1" containsNumber="1" containsInteger="1" minValue="0" maxValue="210"/>
    </cacheField>
    <cacheField name="peak_hour_payout" numFmtId="0">
      <sharedItems containsString="0" containsBlank="1" containsNumber="1" containsInteger="1" minValue="0" maxValue="4420"/>
    </cacheField>
    <cacheField name="peak_slot_payout" numFmtId="0">
      <sharedItems containsString="0" containsBlank="1" containsNumber="1" containsInteger="1" minValue="0" maxValue="0"/>
    </cacheField>
    <cacheField name="order_distance_payout" numFmtId="0">
      <sharedItems containsString="0" containsBlank="1" containsNumber="1" minValue="0" maxValue="608"/>
    </cacheField>
    <cacheField name="daily_order_payout" numFmtId="0">
      <sharedItems containsString="0" containsBlank="1" containsNumber="1" containsInteger="1" minValue="0" maxValue="3987"/>
    </cacheField>
    <cacheField name="weekly_order_payout" numFmtId="0">
      <sharedItems containsString="0" containsBlank="1" containsNumber="1" containsInteger="1" minValue="0" maxValue="0"/>
    </cacheField>
    <cacheField name="monthly_order_payout" numFmtId="0">
      <sharedItems containsString="0" containsBlank="1" containsNumber="1" containsInteger="1" minValue="0" maxValue="0"/>
    </cacheField>
    <cacheField name="weight_payout" numFmtId="0">
      <sharedItems containsString="0" containsBlank="1" containsNumber="1" containsInteger="1" minValue="0" maxValue="60"/>
    </cacheField>
    <cacheField name="day_payout" numFmtId="0">
      <sharedItems containsString="0" containsBlank="1" containsNumber="1" containsInteger="1" minValue="0" maxValue="288"/>
    </cacheField>
    <cacheField name="joining_bonus" numFmtId="0">
      <sharedItems containsString="0" containsBlank="1" containsNumber="1" containsInteger="1" minValue="0" maxValue="3000"/>
    </cacheField>
    <cacheField name="weekly_attendance_payout" numFmtId="0">
      <sharedItems containsString="0" containsBlank="1" containsNumber="1" containsInteger="1" minValue="0" maxValue="800"/>
    </cacheField>
    <cacheField name="monthly_attendance_payout" numFmtId="0">
      <sharedItems containsString="0" containsBlank="1" containsNumber="1" containsInteger="1" minValue="0" maxValue="0"/>
    </cacheField>
    <cacheField name="service_time" numFmtId="0">
      <sharedItems containsString="0" containsBlank="1" containsNumber="1" minValue="0.46722221374511719" maxValue="78.367774963378906"/>
    </cacheField>
    <cacheField name="minimum_guarantee" numFmtId="0">
      <sharedItems containsString="0" containsBlank="1" containsNumber="1" containsInteger="1" minValue="0" maxValue="300"/>
    </cacheField>
    <cacheField name="mg_eligible_days" numFmtId="0">
      <sharedItems containsString="0" containsBlank="1" containsNumber="1" containsInteger="1" minValue="0" maxValue="1"/>
    </cacheField>
    <cacheField name="arrears_amount" numFmtId="0">
      <sharedItems containsString="0" containsBlank="1" containsNumber="1" containsInteger="1" minValue="0" maxValue="0"/>
    </cacheField>
    <cacheField name="arrears_reason" numFmtId="0">
      <sharedItems containsBlank="1"/>
    </cacheField>
    <cacheField name="deductions_amount" numFmtId="0">
      <sharedItems containsString="0" containsBlank="1" containsNumber="1" minValue="0" maxValue="3000"/>
    </cacheField>
    <cacheField name="deductions_reason" numFmtId="0">
      <sharedItems containsBlank="1"/>
    </cacheField>
    <cacheField name="base_pay" numFmtId="0">
      <sharedItems containsString="0" containsBlank="1" containsNumber="1" minValue="25" maxValue="15879"/>
    </cacheField>
    <cacheField name="incentive_total" numFmtId="0">
      <sharedItems containsString="0" containsBlank="1" containsNumber="1" minValue="0" maxValue="9399"/>
    </cacheField>
    <cacheField name="total_without_arrears" numFmtId="0">
      <sharedItems containsString="0" containsBlank="1" containsNumber="1" minValue="25" maxValue="15879"/>
    </cacheField>
    <cacheField name="total_with_arrears" numFmtId="0">
      <sharedItems containsString="0" containsBlank="1" containsNumber="1" minValue="25" maxValue="15879"/>
    </cacheField>
    <cacheField name="total_with_arrears_and_deductions" numFmtId="0">
      <sharedItems containsString="0" containsBlank="1" containsNumber="1" minValue="25" maxValue="15629"/>
    </cacheField>
    <cacheField name="management_fee" numFmtId="0">
      <sharedItems containsString="0" containsBlank="1" containsNumber="1" minValue="2" maxValue="546"/>
    </cacheField>
    <cacheField name="total_with_management_fee" numFmtId="0">
      <sharedItems containsString="0" containsBlank="1" containsNumber="1" minValue="27" maxValue="16147.4"/>
    </cacheField>
    <cacheField name="tds" numFmtId="0">
      <sharedItems containsString="0" containsBlank="1" containsNumber="1" containsInteger="1" minValue="0" maxValue="0"/>
    </cacheField>
    <cacheField name="gst" numFmtId="0">
      <sharedItems containsString="0" containsBlank="1" containsNumber="1" minValue="4.8599999999999994" maxValue="2906.5319999999997"/>
    </cacheField>
    <cacheField name="internal_gst" numFmtId="0">
      <sharedItems containsString="0" containsBlank="1" containsNumber="1" minValue="1.5" maxValue="984.62701416015625"/>
    </cacheField>
    <cacheField name="final_with_gst" numFmtId="0">
      <sharedItems containsString="0" containsBlank="1" containsNumber="1" minValue="31.86" maxValue="19053.932000000001"/>
    </cacheField>
    <cacheField name="final_with_internal_gst" numFmtId="0">
      <sharedItems containsString="0" containsBlank="1" containsNumber="1" minValue="26.5" maxValue="17395.076171875"/>
    </cacheField>
    <cacheField name="cost_per_order" numFmtId="0">
      <sharedItems containsString="0" containsBlank="1" containsNumber="1" minValue="25" maxValue="80.246246337890625"/>
    </cacheField>
    <cacheField name="payment_status" numFmtId="0">
      <sharedItems containsBlank="1"/>
    </cacheField>
    <cacheField name="approval_status" numFmtId="0">
      <sharedItems containsBlank="1"/>
    </cacheField>
    <cacheField name="bank_account_name" numFmtId="0">
      <sharedItems containsBlank="1"/>
    </cacheField>
    <cacheField name="bank_account_number" numFmtId="0">
      <sharedItems containsBlank="1"/>
    </cacheField>
    <cacheField name="ifsc" numFmtId="0">
      <sharedItems containsBlank="1"/>
    </cacheField>
    <cacheField name="bank_name" numFmtId="0">
      <sharedItems containsBlank="1"/>
    </cacheField>
    <cacheField name="date_of_joining" numFmtId="0">
      <sharedItems containsNonDate="0" containsDate="1" containsString="0" containsBlank="1" minDate="2024-12-19T00:00:00" maxDate="2025-06-28T00:00:00"/>
    </cacheField>
    <cacheField name="manual_cash_adjustment" numFmtId="0">
      <sharedItems containsString="0" containsBlank="1" containsNumber="1" containsInteger="1" minValue="0" maxValue="0"/>
    </cacheField>
    <cacheField name="auto_cash_adjustment" numFmtId="0">
      <sharedItems containsString="0" containsBlank="1" containsNumber="1" containsInteger="1" minValue="0" maxValue="0"/>
    </cacheField>
    <cacheField name="total_cash_adjustment" numFmtId="0">
      <sharedItems containsString="0" containsBlank="1" containsNumber="1" containsInteger="1" minValue="0" maxValue="0"/>
    </cacheField>
    <cacheField name="final_with_gst_minus_settlement" numFmtId="0">
      <sharedItems containsString="0" containsBlank="1" containsNumber="1" minValue="29.5" maxValue="19364.330078125"/>
    </cacheField>
    <cacheField name="total_with_management_fee_minus_adjusted_cash" numFmtId="0">
      <sharedItems containsString="0" containsBlank="1" containsNumber="1" minValue="25" maxValue="16410.44921875"/>
    </cacheField>
    <cacheField name="modified_date" numFmtId="0">
      <sharedItems containsNonDate="0" containsDate="1" containsString="0" containsBlank="1" minDate="2025-07-01T23:02:23" maxDate="2025-07-01T23:02: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n v="2025"/>
    <n v="6"/>
    <n v="4"/>
    <n v="810447"/>
    <s v="SATISHSAWARKAR"/>
    <s v="TPL CEE"/>
    <s v="EV"/>
    <s v="KVQPS0389D"/>
    <s v="PUNE"/>
    <x v="0"/>
    <s v="Service Fees"/>
    <s v="INTEGRATED"/>
    <s v="ELERIDE MOBILITY SOLUTIONS PVT LTD"/>
    <s v="BIKE"/>
    <s v="INTEGRATED-IBBN-RC-011702-8"/>
    <s v="7 DAYS"/>
    <n v="50"/>
    <n v="0"/>
    <n v="0"/>
    <n v="23"/>
    <n v="27"/>
    <n v="50"/>
    <n v="4"/>
    <n v="4"/>
    <n v="87.900001525878906"/>
    <n v="0"/>
    <n v="0"/>
    <n v="0"/>
    <n v="1250"/>
    <n v="25"/>
    <n v="0"/>
    <n v="0"/>
    <n v="0"/>
    <n v="463"/>
    <n v="0"/>
    <n v="0"/>
    <n v="30"/>
    <n v="81"/>
    <n v="0"/>
    <n v="0"/>
    <n v="0"/>
    <n v="20.871610641479492"/>
    <n v="0"/>
    <n v="0"/>
    <n v="0"/>
    <s v=""/>
    <n v="0"/>
    <s v=""/>
    <n v="1849"/>
    <n v="599"/>
    <n v="1849"/>
    <n v="1849"/>
    <n v="1849"/>
    <n v="100"/>
    <n v="1949"/>
    <n v="0"/>
    <n v="350.82"/>
    <n v="116.48699951171875"/>
    <n v="2299.8200000000002"/>
    <n v="2057.93701171875"/>
    <n v="38.828998565673828"/>
    <s v="Ready To Pay"/>
    <s v="Draft"/>
    <s v="SATISH NANDKISHOR SAWARKAR"/>
    <s v="621702010009022"/>
    <s v="UBIN0562173"/>
    <s v="UNION BANK OF INDIA"/>
    <d v="2025-06-27T00:00:00"/>
    <n v="0"/>
    <n v="0"/>
    <n v="0"/>
    <n v="2290.910888671875"/>
    <n v="1941.449951171875"/>
    <d v="2025-07-01T23:02:24"/>
  </r>
  <r>
    <n v="2025"/>
    <n v="6"/>
    <n v="4"/>
    <n v="810353"/>
    <s v="ARYANVIRAGE"/>
    <s v="TPL CEE"/>
    <s v="NEV"/>
    <s v="CWYPV7557B"/>
    <s v="PUNE"/>
    <x v="1"/>
    <s v="Service Fees"/>
    <s v="INTEGRATED"/>
    <s v="ELERIDE MOBILITY SOLUTIONS PVT LTD"/>
    <s v="BIKE"/>
    <s v="INTEGRATED-IBBN-RC-012082-9"/>
    <s v="7 DAYS"/>
    <n v="19"/>
    <n v="1"/>
    <n v="0"/>
    <n v="10"/>
    <n v="9"/>
    <n v="19"/>
    <n v="2"/>
    <n v="2"/>
    <n v="60.430000305175781"/>
    <n v="0"/>
    <n v="0"/>
    <n v="0"/>
    <n v="570"/>
    <n v="5"/>
    <n v="200"/>
    <n v="0"/>
    <n v="73.300003051757812"/>
    <n v="0"/>
    <n v="0"/>
    <n v="0"/>
    <n v="0"/>
    <n v="27"/>
    <n v="0"/>
    <n v="0"/>
    <n v="0"/>
    <n v="13.911833763122559"/>
    <n v="0"/>
    <n v="0"/>
    <n v="0"/>
    <s v=""/>
    <n v="0"/>
    <s v=""/>
    <n v="875.29998779296875"/>
    <n v="305.29998779296875"/>
    <n v="875.29998779296875"/>
    <n v="875.29998779296875"/>
    <n v="875.29998779296875"/>
    <n v="45.6"/>
    <n v="920.89998779296877"/>
    <n v="0"/>
    <n v="165.76199780273438"/>
    <n v="52.518001556396484"/>
    <n v="1086.6619855957031"/>
    <n v="927.8179931640625"/>
    <n v="46.06842041015625"/>
    <s v="Ready To Pay"/>
    <s v="Draft"/>
    <s v="ARYAN SACHIN VAIRAGI"/>
    <s v="070818210014528"/>
    <s v="BKID0000708"/>
    <s v="BANK OF INDIA"/>
    <d v="2025-06-27T00:00:00"/>
    <n v="0"/>
    <n v="0"/>
    <n v="0"/>
    <n v="1032.85400390625"/>
    <n v="875.29998779296875"/>
    <d v="2025-07-01T23:02:24"/>
  </r>
  <r>
    <n v="2025"/>
    <n v="6"/>
    <n v="4"/>
    <n v="784832"/>
    <s v="MANJURULLAHKHAN ELERIDE"/>
    <s v="TPL CEE"/>
    <s v="NEV"/>
    <s v="CSCPK8363C"/>
    <s v="PUNE"/>
    <x v="2"/>
    <s v="Service Fees"/>
    <s v="INTEGRATED"/>
    <s v="ELERIDE MOBILITY SOLUTIONS PVT LTD"/>
    <s v="BIKE"/>
    <s v="INTEGRATED-IBBN-RC-008582-20"/>
    <s v="7 DAYS"/>
    <n v="151"/>
    <n v="3"/>
    <n v="0"/>
    <n v="105"/>
    <n v="46"/>
    <n v="151"/>
    <n v="8"/>
    <n v="27"/>
    <n v="371.58999633789062"/>
    <n v="0"/>
    <n v="90"/>
    <n v="0"/>
    <n v="4620"/>
    <n v="100"/>
    <n v="0"/>
    <n v="0"/>
    <n v="109.65000152587891"/>
    <n v="1785"/>
    <n v="0"/>
    <n v="0"/>
    <n v="0"/>
    <n v="138"/>
    <n v="3000"/>
    <n v="500"/>
    <n v="0"/>
    <n v="68.472389221191406"/>
    <n v="0"/>
    <n v="0"/>
    <n v="0"/>
    <s v=""/>
    <n v="3000"/>
    <s v="PREVIOUS PAYOUT EXTRA AMOUNT"/>
    <n v="10252.650390625"/>
    <n v="5632.64990234375"/>
    <n v="10252.650390625"/>
    <n v="10252.650390625"/>
    <n v="7252.64990234375"/>
    <n v="369.6"/>
    <n v="7622.2499023437504"/>
    <n v="0"/>
    <n v="1372.004982421875"/>
    <n v="456.91696166992187"/>
    <n v="8994.2548847656253"/>
    <n v="8072.19921875"/>
    <n v="50.432334899902344"/>
    <s v="Ready To Pay"/>
    <s v="Draft"/>
    <s v="MANJUR ULLAH KHAN"/>
    <s v="924010043095487"/>
    <s v="UTIB0000168"/>
    <s v="AXIS BANK"/>
    <d v="2025-05-05T00:00:00"/>
    <n v="0"/>
    <n v="0"/>
    <n v="0"/>
    <n v="8986.033203125"/>
    <n v="7615.28271484375"/>
    <d v="2025-07-01T23:02:24"/>
  </r>
  <r>
    <n v="2025"/>
    <n v="6"/>
    <n v="4"/>
    <n v="793343"/>
    <s v="AMANJAISWAL"/>
    <s v="TPL CEE"/>
    <s v="LSV"/>
    <s v="DBSPJ8374J"/>
    <s v="PUNE"/>
    <x v="3"/>
    <s v="Service Fees"/>
    <s v="INTEGRATED"/>
    <s v="ELERIDE MOBILITY SOLUTIONS PVT LTD"/>
    <s v="BIKE"/>
    <s v="INTEGRATED-IBBN-RC-009926-17"/>
    <s v="7 DAYS"/>
    <n v="18"/>
    <n v="0"/>
    <n v="4"/>
    <n v="0"/>
    <n v="18"/>
    <n v="22"/>
    <n v="1"/>
    <n v="22"/>
    <n v="54.950000762939453"/>
    <n v="0"/>
    <n v="0"/>
    <n v="100"/>
    <n v="550"/>
    <n v="0"/>
    <n v="440"/>
    <n v="0"/>
    <n v="38.650001525878906"/>
    <n v="330"/>
    <n v="0"/>
    <n v="0"/>
    <n v="0"/>
    <n v="66"/>
    <n v="0"/>
    <n v="0"/>
    <n v="0"/>
    <n v="6.1824445724487305"/>
    <n v="0"/>
    <n v="0"/>
    <n v="0"/>
    <s v=""/>
    <n v="49"/>
    <s v="IBND DEDUCTION"/>
    <n v="1424.6500244140625"/>
    <n v="874.6500244140625"/>
    <n v="1424.6500244140625"/>
    <n v="1424.6500244140625"/>
    <n v="1375.6500244140625"/>
    <n v="44"/>
    <n v="1419.6500244140625"/>
    <n v="0"/>
    <n v="255.53700439453124"/>
    <n v="86.665946960449219"/>
    <n v="1675.1870288085938"/>
    <n v="1531.0985107421875"/>
    <n v="80.246246337890625"/>
    <s v="Ready To Pay"/>
    <s v="Draft"/>
    <s v="AMAN KUMAR JAISWAL"/>
    <s v="750302010016829"/>
    <s v="UBIN0575038"/>
    <s v="UNION BANK OF INDIA"/>
    <d v="2025-05-23T00:00:00"/>
    <n v="0"/>
    <n v="0"/>
    <n v="0"/>
    <n v="1704.4302978515625"/>
    <n v="1444.4324951171875"/>
    <d v="2025-07-01T23:02:24"/>
  </r>
  <r>
    <n v="2025"/>
    <n v="6"/>
    <n v="4"/>
    <n v="799957"/>
    <s v="PRASHANTSWAMI"/>
    <s v="TPL CEE"/>
    <s v="LSV"/>
    <s v="BRSPS1662L"/>
    <s v="PUNE"/>
    <x v="4"/>
    <s v="Service Fees"/>
    <s v="INTEGRATED"/>
    <s v="ELERIDE MOBILITY SOLUTIONS PVT LTD"/>
    <s v="BIKE"/>
    <s v="INTEGRATED-IBBN-RC-008558-14"/>
    <s v="7 DAYS"/>
    <n v="69"/>
    <n v="2"/>
    <n v="0"/>
    <n v="37"/>
    <n v="32"/>
    <n v="69"/>
    <n v="5"/>
    <n v="16"/>
    <n v="122.41000366210937"/>
    <n v="0"/>
    <n v="50"/>
    <n v="0"/>
    <n v="1775"/>
    <n v="50"/>
    <n v="0"/>
    <n v="0"/>
    <n v="34.200000762939453"/>
    <n v="485"/>
    <n v="0"/>
    <n v="0"/>
    <n v="0"/>
    <n v="99"/>
    <n v="0"/>
    <n v="0"/>
    <n v="0"/>
    <n v="29.682500839233398"/>
    <n v="0"/>
    <n v="0"/>
    <n v="0"/>
    <s v=""/>
    <n v="0"/>
    <s v=""/>
    <n v="2443.199951171875"/>
    <n v="668.20001220703125"/>
    <n v="2443.199951171875"/>
    <n v="2443.199951171875"/>
    <n v="2443.199951171875"/>
    <n v="142"/>
    <n v="2585.199951171875"/>
    <n v="0"/>
    <n v="465.33599121093749"/>
    <n v="153.92160034179687"/>
    <n v="3050.5359423828127"/>
    <n v="2719.281494140625"/>
    <n v="37.179130554199219"/>
    <s v="Ready To Pay"/>
    <s v="Draft"/>
    <s v="PRASHANT PRAKASH SWAMI"/>
    <s v="80090100003225"/>
    <s v="BARB0VJLOHE"/>
    <s v="BANK OF BARODA"/>
    <d v="2025-06-06T00:00:00"/>
    <n v="0"/>
    <n v="0"/>
    <n v="0"/>
    <n v="3027.124755859375"/>
    <n v="2565.360107421875"/>
    <d v="2025-07-01T23:02:24"/>
  </r>
  <r>
    <n v="2025"/>
    <n v="6"/>
    <n v="4"/>
    <n v="804059"/>
    <s v="NAVEENKUMAR"/>
    <s v="TPL CEE"/>
    <s v="LSV"/>
    <m/>
    <s v="PUNE"/>
    <x v="5"/>
    <s v="Service Fees"/>
    <s v="INTEGRATED"/>
    <s v="ELERIDE MOBILITY SOLUTIONS PVT LTD"/>
    <s v="BIKE"/>
    <s v="INTEGRATED-IBBN-RC-013441-6"/>
    <s v="7 DAYS"/>
    <n v="29"/>
    <n v="1"/>
    <n v="0"/>
    <n v="16"/>
    <n v="13"/>
    <n v="29"/>
    <n v="2"/>
    <n v="4"/>
    <n v="67.290000915527344"/>
    <n v="0"/>
    <n v="25"/>
    <n v="0"/>
    <n v="750"/>
    <n v="0"/>
    <n v="0"/>
    <n v="0"/>
    <n v="23.700000762939453"/>
    <n v="257"/>
    <n v="0"/>
    <n v="0"/>
    <n v="0"/>
    <n v="42"/>
    <n v="0"/>
    <n v="0"/>
    <n v="0"/>
    <n v="16.831888198852539"/>
    <n v="0"/>
    <n v="0"/>
    <n v="0"/>
    <s v=""/>
    <n v="0"/>
    <s v=""/>
    <n v="1072.699951171875"/>
    <n v="322.70001220703125"/>
    <n v="1072.699951171875"/>
    <n v="1072.699951171875"/>
    <n v="1072.699951171875"/>
    <n v="60"/>
    <n v="1132.699951171875"/>
    <n v="0"/>
    <n v="203.8859912109375"/>
    <n v="64.36199951171875"/>
    <n v="1336.5859423828124"/>
    <n v="1137.06201171875"/>
    <n v="36.989654541015625"/>
    <s v="Ready To Pay"/>
    <s v="Draft"/>
    <m/>
    <m/>
    <m/>
    <m/>
    <d v="2025-06-14T00:00:00"/>
    <n v="0"/>
    <n v="0"/>
    <n v="0"/>
    <n v="1265.7860107421875"/>
    <n v="1072.699951171875"/>
    <d v="2025-07-01T23:02:24"/>
  </r>
  <r>
    <n v="2025"/>
    <n v="6"/>
    <n v="4"/>
    <n v="803461"/>
    <s v="MANJEETBHARTI"/>
    <s v="TPL CEE"/>
    <s v="LSV"/>
    <s v="HJRPB3566B"/>
    <s v="PUNE"/>
    <x v="1"/>
    <s v="Service Fees"/>
    <s v="INTEGRATED"/>
    <s v="ELERIDE MOBILITY SOLUTIONS PVT LTD"/>
    <s v="BIKE"/>
    <s v="INTEGRATED-IBBN-RC-012083-11"/>
    <s v="7 DAYS"/>
    <n v="123"/>
    <n v="2"/>
    <n v="0"/>
    <n v="62"/>
    <n v="61"/>
    <n v="123"/>
    <n v="9"/>
    <n v="15"/>
    <n v="364.01998901367187"/>
    <n v="0"/>
    <n v="0"/>
    <n v="0"/>
    <n v="3075"/>
    <n v="30"/>
    <n v="1400"/>
    <n v="0"/>
    <n v="511.70001220703125"/>
    <n v="1090"/>
    <n v="0"/>
    <n v="0"/>
    <n v="60"/>
    <n v="186"/>
    <n v="0"/>
    <n v="250"/>
    <n v="0"/>
    <n v="56.942501068115234"/>
    <n v="0"/>
    <n v="0"/>
    <n v="0"/>
    <s v=""/>
    <n v="100"/>
    <s v="PENALTY - LATE REPORTING"/>
    <n v="6602.7001953125"/>
    <n v="3527.699951171875"/>
    <n v="6602.7001953125"/>
    <n v="6602.7001953125"/>
    <n v="6502.7001953125"/>
    <n v="246"/>
    <n v="6748.7001953125"/>
    <n v="0"/>
    <n v="1214.7660351562499"/>
    <n v="390.1619873046875"/>
    <n v="7963.4662304687499"/>
    <n v="6892.86181640625"/>
    <n v="52.867481231689453"/>
    <s v="Ready To Pay"/>
    <s v="Draft"/>
    <s v="MANJEET BHARTI"/>
    <s v="0548333349"/>
    <s v="KKBK0001757"/>
    <s v="KOTAK MAHINDRA BANK"/>
    <d v="2025-06-13T00:00:00"/>
    <n v="0"/>
    <n v="0"/>
    <n v="0"/>
    <n v="7673.18603515625"/>
    <n v="6502.7001953125"/>
    <d v="2025-07-01T23:02:24"/>
  </r>
  <r>
    <n v="2025"/>
    <n v="6"/>
    <n v="4"/>
    <n v="804004"/>
    <s v="MANGESH JADHAO8010197548"/>
    <s v="TPL CEE"/>
    <s v="LSV"/>
    <m/>
    <s v="PUNE"/>
    <x v="6"/>
    <s v="Service Fees"/>
    <s v="INTEGRATED"/>
    <s v="ELERIDE MOBILITY SOLUTIONS PVT LTD"/>
    <s v="BIKE"/>
    <s v="INTEGRATED-IBBN-RC-009586-14"/>
    <s v="7 DAYS"/>
    <n v="99"/>
    <n v="3"/>
    <n v="0"/>
    <n v="64"/>
    <n v="35"/>
    <n v="99"/>
    <n v="9"/>
    <n v="15"/>
    <n v="210.11000061035156"/>
    <n v="0"/>
    <n v="75"/>
    <n v="0"/>
    <n v="2550"/>
    <n v="0"/>
    <n v="0"/>
    <n v="0"/>
    <n v="50.200000762939453"/>
    <n v="524"/>
    <n v="0"/>
    <n v="0"/>
    <n v="0"/>
    <n v="108"/>
    <n v="0"/>
    <n v="0"/>
    <n v="0"/>
    <n v="58.590831756591797"/>
    <n v="0"/>
    <n v="0"/>
    <n v="0"/>
    <s v=""/>
    <n v="0"/>
    <s v=""/>
    <n v="3232.199951171875"/>
    <n v="682.20001220703125"/>
    <n v="3232.199951171875"/>
    <n v="3232.199951171875"/>
    <n v="3232.199951171875"/>
    <n v="204"/>
    <n v="3436.199951171875"/>
    <n v="0"/>
    <n v="618.5159912109375"/>
    <n v="193.9320068359375"/>
    <n v="4054.7159423828125"/>
    <n v="3426.132080078125"/>
    <n v="32.648483276367188"/>
    <s v="Ready To Pay"/>
    <s v="Draft"/>
    <m/>
    <m/>
    <m/>
    <m/>
    <d v="2025-06-14T00:00:00"/>
    <n v="0"/>
    <n v="0"/>
    <n v="0"/>
    <n v="3813.99609375"/>
    <n v="3232.199951171875"/>
    <d v="2025-07-01T23:02:24"/>
  </r>
  <r>
    <n v="2025"/>
    <n v="6"/>
    <n v="4"/>
    <n v="799654"/>
    <s v="SAURABHKANK"/>
    <s v="TPL CEE"/>
    <s v="LSV"/>
    <s v="LEAPK2964N"/>
    <s v="PUNE"/>
    <x v="2"/>
    <s v="Service Fees"/>
    <s v="INTEGRATED"/>
    <s v="ELERIDE MOBILITY SOLUTIONS PVT LTD"/>
    <s v="BIKE"/>
    <s v="INTEGRATED-IBBN-RC-008583-19"/>
    <s v="7 DAYS"/>
    <n v="154"/>
    <n v="1"/>
    <n v="0"/>
    <n v="83"/>
    <n v="71"/>
    <n v="154"/>
    <n v="7"/>
    <n v="22"/>
    <n v="336.30999755859375"/>
    <n v="0"/>
    <n v="25"/>
    <n v="0"/>
    <n v="3875"/>
    <n v="70"/>
    <n v="0"/>
    <n v="0"/>
    <n v="69.449996948242188"/>
    <n v="2016"/>
    <n v="0"/>
    <n v="0"/>
    <n v="0"/>
    <n v="216"/>
    <n v="0"/>
    <n v="500"/>
    <n v="0"/>
    <n v="56.289276123046875"/>
    <n v="300"/>
    <n v="1"/>
    <n v="0"/>
    <s v=""/>
    <n v="0"/>
    <s v=""/>
    <n v="6746.4501953125"/>
    <n v="2871.449951171875"/>
    <n v="7046.4501953125"/>
    <n v="7046.4501953125"/>
    <n v="7046.4501953125"/>
    <n v="310"/>
    <n v="7356.4501953125"/>
    <n v="0"/>
    <n v="1324.1610351562499"/>
    <n v="443.92636108398437"/>
    <n v="8680.6112304687504"/>
    <n v="7842.69873046875"/>
    <n v="48.043975830078125"/>
    <s v="Ready To Pay"/>
    <s v="Draft"/>
    <s v="SAURABH KISHOR KANK"/>
    <s v="48960100002806"/>
    <s v="BARB0MANGAO"/>
    <s v="BANK OF BARODA"/>
    <d v="2025-06-06T00:00:00"/>
    <n v="0"/>
    <n v="0"/>
    <n v="0"/>
    <n v="8730.5517578125"/>
    <n v="7398.7724609375"/>
    <d v="2025-07-01T23:02:24"/>
  </r>
  <r>
    <n v="2025"/>
    <n v="6"/>
    <n v="4"/>
    <n v="808550"/>
    <s v="ABHISHEK SANANSE9604469167"/>
    <s v="TPL CEE"/>
    <s v="LSV"/>
    <s v="QKQPS1121C"/>
    <s v="PUNE"/>
    <x v="6"/>
    <s v="Service Fees"/>
    <s v="INTEGRATED"/>
    <s v="ELERIDE MOBILITY SOLUTIONS PVT LTD"/>
    <s v="BIKE"/>
    <s v="INTEGRATED-IBBN-RC-009586-14"/>
    <s v="7 DAYS"/>
    <n v="97"/>
    <n v="3"/>
    <n v="0"/>
    <n v="53"/>
    <n v="44"/>
    <n v="97"/>
    <n v="6"/>
    <n v="6"/>
    <n v="205.83999633789062"/>
    <n v="0"/>
    <n v="75"/>
    <n v="0"/>
    <n v="2500"/>
    <n v="0"/>
    <n v="0"/>
    <n v="0"/>
    <n v="59.900001525878906"/>
    <n v="1116"/>
    <n v="0"/>
    <n v="0"/>
    <n v="0"/>
    <n v="135"/>
    <n v="0"/>
    <n v="0"/>
    <n v="0"/>
    <n v="46.545444488525391"/>
    <n v="0"/>
    <n v="0"/>
    <n v="0"/>
    <s v=""/>
    <n v="43"/>
    <s v="IBND DEDUCTION"/>
    <n v="3810.89990234375"/>
    <n v="1310.9000244140625"/>
    <n v="3810.89990234375"/>
    <n v="3810.89990234375"/>
    <n v="3767.89990234375"/>
    <n v="200"/>
    <n v="3967.89990234375"/>
    <n v="0"/>
    <n v="714.22198242187494"/>
    <n v="226.07400512695312"/>
    <n v="4682.1218847656246"/>
    <n v="3993.97412109375"/>
    <n v="38.844329833984375"/>
    <s v="Ready To Pay"/>
    <s v="Draft"/>
    <s v="ABHISHEK PRAMOD SANANSE"/>
    <s v="6249638196"/>
    <s v="KKBK0001793"/>
    <s v="KOTAK MAHINDRA BANK"/>
    <d v="2025-06-23T00:00:00"/>
    <n v="0"/>
    <n v="0"/>
    <n v="0"/>
    <n v="4446.1220703125"/>
    <n v="3767.89990234375"/>
    <d v="2025-07-01T23:02:24"/>
  </r>
  <r>
    <n v="2025"/>
    <n v="6"/>
    <n v="4"/>
    <n v="807590"/>
    <s v="SANTOSHKENDRE"/>
    <s v="TPL CEE"/>
    <s v="EV"/>
    <s v="NVDPK0642H"/>
    <s v="PUNE"/>
    <x v="7"/>
    <s v="Service Fees"/>
    <s v="INTEGRATED"/>
    <s v="ELERIDE MOBILITY SOLUTIONS PVT LTD"/>
    <s v="BIKE"/>
    <s v="INTEGRATED-IBBN-RC-009937-16"/>
    <s v="7 DAYS"/>
    <n v="72"/>
    <n v="5"/>
    <n v="0"/>
    <n v="72"/>
    <n v="0"/>
    <n v="72"/>
    <n v="4"/>
    <n v="4"/>
    <n v="205.13999938964844"/>
    <n v="0"/>
    <n v="0"/>
    <n v="0"/>
    <n v="1800"/>
    <n v="25"/>
    <n v="0"/>
    <n v="0"/>
    <n v="60.099998474121094"/>
    <n v="759"/>
    <n v="0"/>
    <n v="0"/>
    <n v="0"/>
    <n v="0"/>
    <n v="0"/>
    <n v="0"/>
    <n v="0"/>
    <n v="34.984889984130859"/>
    <n v="0"/>
    <n v="0"/>
    <n v="0"/>
    <s v=""/>
    <n v="0"/>
    <s v=""/>
    <n v="2644.10009765625"/>
    <n v="844.0999755859375"/>
    <n v="2644.10009765625"/>
    <n v="2644.10009765625"/>
    <n v="2644.10009765625"/>
    <n v="144"/>
    <n v="2788.10009765625"/>
    <n v="0"/>
    <n v="501.85801757812499"/>
    <n v="166.57829284667969"/>
    <n v="3289.9581152343749"/>
    <n v="2942.88330078125"/>
    <n v="38.559791564941406"/>
    <s v="Ready To Pay"/>
    <s v="Draft"/>
    <s v="MR. SANTOSH SHIVRAJ KENDRE"/>
    <s v="42329481429"/>
    <s v="SBIN0020040"/>
    <s v="STATE BANK OF INDIA"/>
    <d v="2025-06-21T00:00:00"/>
    <n v="0"/>
    <n v="0"/>
    <n v="0"/>
    <n v="3276.039794921875"/>
    <n v="2776.304931640625"/>
    <d v="2025-07-01T23:02:24"/>
  </r>
  <r>
    <n v="2025"/>
    <n v="6"/>
    <n v="4"/>
    <n v="807590"/>
    <s v="SANTOSHKENDRE"/>
    <s v="TPL CEE"/>
    <s v="EV"/>
    <s v="NVDPK0642H"/>
    <s v="PUNE"/>
    <x v="8"/>
    <s v="Service Fees"/>
    <s v="INTEGRATED"/>
    <s v="ELERIDE MOBILITY SOLUTIONS PVT LTD"/>
    <s v="BIKE"/>
    <s v="INTEGRATED-IBBN-RC-010615-13"/>
    <s v="7 DAYS"/>
    <n v="1"/>
    <n v="0"/>
    <n v="0"/>
    <n v="1"/>
    <n v="0"/>
    <n v="1"/>
    <n v="1"/>
    <n v="1"/>
    <n v="1.6499999761581421"/>
    <n v="0"/>
    <n v="0"/>
    <n v="0"/>
    <n v="25"/>
    <n v="0"/>
    <n v="0"/>
    <n v="0"/>
    <n v="0"/>
    <n v="0"/>
    <n v="0"/>
    <n v="0"/>
    <n v="0"/>
    <n v="0"/>
    <n v="0"/>
    <n v="0"/>
    <n v="0"/>
    <n v="0.46722221374511719"/>
    <n v="0"/>
    <n v="0"/>
    <n v="0"/>
    <s v=""/>
    <n v="0"/>
    <s v=""/>
    <n v="25"/>
    <n v="0"/>
    <n v="25"/>
    <n v="25"/>
    <n v="25"/>
    <n v="2"/>
    <n v="27"/>
    <n v="0"/>
    <n v="4.8599999999999994"/>
    <n v="1.5"/>
    <n v="31.86"/>
    <n v="26.5"/>
    <n v="25"/>
    <s v="Ready To Pay"/>
    <s v="Draft"/>
    <s v="MR. SANTOSH SHIVRAJ KENDRE"/>
    <s v="42329481429"/>
    <s v="SBIN0020040"/>
    <s v="STATE BANK OF INDIA"/>
    <d v="2025-06-21T00:00:00"/>
    <n v="0"/>
    <n v="0"/>
    <n v="0"/>
    <n v="29.5"/>
    <n v="25"/>
    <d v="2025-07-01T23:02:24"/>
  </r>
  <r>
    <n v="2025"/>
    <n v="6"/>
    <n v="4"/>
    <n v="786490"/>
    <s v="SANTOSH NAYASE7517557492"/>
    <s v="TPL CEE"/>
    <s v="NEV"/>
    <s v="CPCPN5101E"/>
    <s v="PUNE"/>
    <x v="6"/>
    <s v="Service Fees"/>
    <s v="INTEGRATED"/>
    <s v="ELERIDE MOBILITY SOLUTIONS PVT LTD"/>
    <s v="BIKE"/>
    <s v="INTEGRATED-IBBN-RC-009587-15"/>
    <s v="7 DAYS"/>
    <n v="162"/>
    <n v="0"/>
    <n v="0"/>
    <n v="96"/>
    <n v="66"/>
    <n v="162"/>
    <n v="9"/>
    <n v="30"/>
    <n v="334.45999145507812"/>
    <n v="0"/>
    <n v="0"/>
    <n v="0"/>
    <n v="4860"/>
    <n v="0"/>
    <n v="0"/>
    <n v="0"/>
    <n v="97.550003051757813"/>
    <n v="1898"/>
    <n v="0"/>
    <n v="0"/>
    <n v="30"/>
    <n v="198"/>
    <n v="0"/>
    <n v="500"/>
    <n v="0"/>
    <n v="71.377334594726563"/>
    <n v="0"/>
    <n v="0"/>
    <n v="0"/>
    <s v=""/>
    <n v="0"/>
    <s v=""/>
    <n v="7583.5498046875"/>
    <n v="2723.550048828125"/>
    <n v="7583.5498046875"/>
    <n v="7583.5498046875"/>
    <n v="7583.5498046875"/>
    <n v="388.8"/>
    <n v="7972.3498046875002"/>
    <n v="0"/>
    <n v="1435.0229648437501"/>
    <n v="455.01300048828125"/>
    <n v="9407.37276953125"/>
    <n v="8038.56298828125"/>
    <n v="46.812038421630859"/>
    <s v="Ready To Pay"/>
    <s v="Draft"/>
    <s v="SANTOSH AMBADAS NAYSE"/>
    <s v="4050174360"/>
    <s v="KKBK0001793"/>
    <s v="KOTAK MAHINDRA BANK"/>
    <d v="2025-05-09T00:00:00"/>
    <n v="0"/>
    <n v="0"/>
    <n v="0"/>
    <n v="8948.5888671875"/>
    <n v="7583.5498046875"/>
    <d v="2025-07-01T23:02:24"/>
  </r>
  <r>
    <n v="2025"/>
    <n v="6"/>
    <n v="4"/>
    <n v="808554"/>
    <s v="DAYANANDLONDHE"/>
    <s v="TPL CEE"/>
    <s v="EV"/>
    <s v="BKQPL7832J"/>
    <s v="PUNE"/>
    <x v="8"/>
    <s v="Service Fees"/>
    <s v="INTEGRATED"/>
    <s v="ELERIDE MOBILITY SOLUTIONS PVT LTD"/>
    <s v="BIKE"/>
    <s v="INTEGRATED-IBBN-RC-010615-13"/>
    <s v="7 DAYS"/>
    <n v="26"/>
    <n v="0"/>
    <n v="0"/>
    <n v="7"/>
    <n v="19"/>
    <n v="26"/>
    <n v="4"/>
    <n v="4"/>
    <n v="58.220001220703125"/>
    <n v="0"/>
    <n v="0"/>
    <n v="0"/>
    <n v="650"/>
    <n v="0"/>
    <n v="40"/>
    <n v="0"/>
    <n v="4.0999999046325684"/>
    <n v="70"/>
    <n v="0"/>
    <n v="0"/>
    <n v="0"/>
    <n v="57"/>
    <n v="0"/>
    <n v="0"/>
    <n v="0"/>
    <n v="16.249944686889648"/>
    <n v="0"/>
    <n v="0"/>
    <n v="0"/>
    <s v=""/>
    <n v="0"/>
    <s v=""/>
    <n v="821.0999755859375"/>
    <n v="171.10000610351562"/>
    <n v="821.0999755859375"/>
    <n v="821.0999755859375"/>
    <n v="821.0999755859375"/>
    <n v="52"/>
    <n v="873.0999755859375"/>
    <n v="0"/>
    <n v="157.15799560546876"/>
    <n v="49.265998840332031"/>
    <n v="1030.2579711914063"/>
    <n v="870.36602783203125"/>
    <n v="31.580768585205078"/>
    <s v="Ready To Pay"/>
    <s v="Draft"/>
    <s v="DAYANAND BHARAT LONDHE"/>
    <s v="4646561635"/>
    <s v="KKBK0000725"/>
    <s v="KOTAK MAHINDRA BANK"/>
    <d v="2025-06-23T00:00:00"/>
    <n v="0"/>
    <n v="0"/>
    <n v="0"/>
    <n v="968.89801025390625"/>
    <n v="821.0999755859375"/>
    <d v="2025-07-01T23:02:24"/>
  </r>
  <r>
    <n v="2025"/>
    <n v="6"/>
    <n v="4"/>
    <n v="756144"/>
    <s v="SACHIN NAYASE7350987782"/>
    <s v="TPL CEE"/>
    <s v="NEV"/>
    <m/>
    <s v="PUNE"/>
    <x v="6"/>
    <s v="Service Fees"/>
    <s v="INTEGRATED"/>
    <s v="ELERIDE MOBILITY SOLUTIONS PVT LTD"/>
    <s v="BIKE"/>
    <s v="INTEGRATED-IBBN-RC-009587-15"/>
    <s v="7 DAYS"/>
    <n v="129"/>
    <n v="2"/>
    <n v="0"/>
    <n v="89"/>
    <n v="40"/>
    <n v="129"/>
    <n v="8"/>
    <n v="27"/>
    <n v="258.91000366210937"/>
    <n v="0"/>
    <n v="60"/>
    <n v="0"/>
    <n v="3930"/>
    <n v="40"/>
    <n v="0"/>
    <n v="0"/>
    <n v="61.900001525878906"/>
    <n v="1415"/>
    <n v="0"/>
    <n v="0"/>
    <n v="30"/>
    <n v="126"/>
    <n v="0"/>
    <n v="250"/>
    <n v="0"/>
    <n v="57.050334930419922"/>
    <n v="0"/>
    <n v="0"/>
    <n v="0"/>
    <s v=""/>
    <n v="0"/>
    <s v=""/>
    <n v="5852.89990234375"/>
    <n v="1922.9000244140625"/>
    <n v="5852.89990234375"/>
    <n v="5852.89990234375"/>
    <n v="5852.89990234375"/>
    <n v="314.40000000000003"/>
    <n v="6167.2999023437496"/>
    <n v="0"/>
    <n v="1110.1139824218749"/>
    <n v="351.17401123046875"/>
    <n v="7277.413884765625"/>
    <n v="6204.07421875"/>
    <n v="45.371318817138672"/>
    <s v="Ready To Pay"/>
    <s v="Draft"/>
    <m/>
    <m/>
    <m/>
    <m/>
    <m/>
    <n v="0"/>
    <n v="0"/>
    <n v="0"/>
    <n v="6906.421875"/>
    <n v="5852.89990234375"/>
    <d v="2025-07-01T23:02:23"/>
  </r>
  <r>
    <n v="2025"/>
    <n v="6"/>
    <n v="4"/>
    <n v="753406"/>
    <s v="TAPASH KUMAR SAHAELERIDE"/>
    <s v="TPL CEE"/>
    <s v="EV"/>
    <m/>
    <s v="PUNE"/>
    <x v="2"/>
    <s v="Service Fees"/>
    <s v="INTEGRATED"/>
    <s v="ELERIDE MOBILITY SOLUTIONS PVT LTD"/>
    <s v="BIKE"/>
    <s v="INTEGRATED-IBBN-RC-008583-19"/>
    <s v="7 DAYS"/>
    <n v="55"/>
    <n v="1"/>
    <n v="0"/>
    <n v="35"/>
    <n v="20"/>
    <n v="55"/>
    <n v="5"/>
    <n v="22"/>
    <n v="131.49000549316406"/>
    <n v="0"/>
    <n v="25"/>
    <n v="0"/>
    <n v="1400"/>
    <n v="50"/>
    <n v="0"/>
    <n v="0"/>
    <n v="35.25"/>
    <n v="511"/>
    <n v="0"/>
    <n v="0"/>
    <n v="0"/>
    <n v="63"/>
    <n v="0"/>
    <n v="0"/>
    <n v="0"/>
    <n v="20.668832778930664"/>
    <n v="0"/>
    <n v="0"/>
    <n v="0"/>
    <s v=""/>
    <n v="65"/>
    <s v="IBND DEDUCTION"/>
    <n v="2059.25"/>
    <n v="659.25"/>
    <n v="2059.25"/>
    <n v="2059.25"/>
    <n v="1994.25"/>
    <n v="112"/>
    <n v="2106.25"/>
    <n v="0"/>
    <n v="379.125"/>
    <n v="125.63774871826172"/>
    <n v="2485.375"/>
    <n v="2219.600341796875"/>
    <n v="38.072044372558594"/>
    <s v="Ready To Pay"/>
    <s v="Draft"/>
    <m/>
    <m/>
    <m/>
    <m/>
    <m/>
    <n v="0"/>
    <n v="0"/>
    <n v="0"/>
    <n v="2470.875732421875"/>
    <n v="2093.96240234375"/>
    <d v="2025-07-01T23:02:23"/>
  </r>
  <r>
    <n v="2025"/>
    <n v="6"/>
    <n v="4"/>
    <n v="757911"/>
    <s v="ROHAN SUDHKAR CHAVANELRD  BREAK"/>
    <s v="TPL CEE"/>
    <s v="EV"/>
    <m/>
    <s v="PUNE"/>
    <x v="0"/>
    <s v="Service Fees"/>
    <s v="INTEGRATED"/>
    <s v="ELERIDE MOBILITY SOLUTIONS PVT LTD"/>
    <s v="BIKE"/>
    <s v="INTEGRATED-IBBN-RC-011702-8"/>
    <s v="7 DAYS"/>
    <n v="270"/>
    <n v="3"/>
    <n v="0"/>
    <n v="175"/>
    <n v="95"/>
    <n v="270"/>
    <n v="9"/>
    <n v="30"/>
    <n v="515.94000244140625"/>
    <n v="0"/>
    <n v="75"/>
    <n v="0"/>
    <n v="6825"/>
    <n v="210"/>
    <n v="0"/>
    <n v="0"/>
    <n v="13.100000381469727"/>
    <n v="3987"/>
    <n v="0"/>
    <n v="0"/>
    <n v="0"/>
    <n v="288"/>
    <n v="0"/>
    <n v="800"/>
    <n v="0"/>
    <n v="78.367774963378906"/>
    <n v="0"/>
    <n v="0"/>
    <n v="0"/>
    <s v=""/>
    <n v="180.96000671386719"/>
    <s v="IBND DEDUCTION"/>
    <n v="12123.099609375"/>
    <n v="5298.10009765625"/>
    <n v="12123.099609375"/>
    <n v="12123.099609375"/>
    <n v="11942.1396484375"/>
    <n v="546"/>
    <n v="12488.1396484375"/>
    <n v="0"/>
    <n v="2247.8651367187499"/>
    <n v="752.35479736328125"/>
    <n v="14736.00478515625"/>
    <n v="13291.6015625"/>
    <n v="46.441654205322266"/>
    <s v="Ready To Pay"/>
    <s v="Draft"/>
    <m/>
    <m/>
    <m/>
    <m/>
    <m/>
    <n v="0"/>
    <n v="0"/>
    <n v="0"/>
    <n v="14796.3115234375"/>
    <n v="12539.2470703125"/>
    <d v="2025-07-01T23:02:23"/>
  </r>
  <r>
    <n v="2025"/>
    <n v="6"/>
    <n v="4"/>
    <n v="741275"/>
    <s v="NIKHIL RAJU GUPTELERIDE BREAK"/>
    <s v="TPL CEE"/>
    <s v="NEV"/>
    <m/>
    <s v="PUNE"/>
    <x v="3"/>
    <s v="Service Fees"/>
    <s v="INTEGRATED"/>
    <s v="ELERIDE MOBILITY SOLUTIONS PVT LTD"/>
    <s v="BIKE"/>
    <s v="INTEGRATED-IBBN-RC-009931-17"/>
    <s v="7 DAYS"/>
    <n v="215"/>
    <n v="2"/>
    <n v="1"/>
    <n v="135"/>
    <n v="80"/>
    <n v="216"/>
    <n v="8"/>
    <n v="29"/>
    <n v="712.739990234375"/>
    <n v="0"/>
    <n v="0"/>
    <n v="30"/>
    <n v="6480"/>
    <n v="85"/>
    <n v="4420"/>
    <n v="0"/>
    <n v="608"/>
    <n v="3240"/>
    <n v="0"/>
    <n v="0"/>
    <n v="0"/>
    <n v="246"/>
    <n v="0"/>
    <n v="800"/>
    <n v="0"/>
    <n v="72"/>
    <n v="0"/>
    <n v="0"/>
    <n v="0"/>
    <s v=""/>
    <n v="250"/>
    <s v="INCORRECT ORDER ACKNOWLEDGEMENT PROCESS DEVIATION, INCORRECT ORDER ACKNOWLEDGEMENT PROCESS DEVIATION, INCORRECT ORDER ACKNOWLEDGEMENT PROCESS DEVIATION"/>
    <n v="15879"/>
    <n v="9399"/>
    <n v="15879"/>
    <n v="15879"/>
    <n v="15629"/>
    <n v="518.4"/>
    <n v="16147.4"/>
    <n v="0"/>
    <n v="2906.5319999999997"/>
    <n v="984.62701416015625"/>
    <n v="19053.932000000001"/>
    <n v="17395.076171875"/>
    <n v="76.327674865722656"/>
    <s v="Ready To Pay"/>
    <s v="Draft"/>
    <m/>
    <m/>
    <m/>
    <m/>
    <m/>
    <n v="0"/>
    <n v="0"/>
    <n v="0"/>
    <n v="19364.330078125"/>
    <n v="16410.44921875"/>
    <d v="2025-07-01T23:02:23"/>
  </r>
  <r>
    <n v="2025"/>
    <n v="6"/>
    <n v="4"/>
    <n v="738700"/>
    <s v="ELERIDEAMAN JADHAV"/>
    <s v="TPL CEE"/>
    <s v="NEV"/>
    <m/>
    <s v="PUNE"/>
    <x v="9"/>
    <s v="Service Fees"/>
    <s v="INTEGRATED"/>
    <s v="ELERIDE MOBILITY SOLUTIONS PVT LTD"/>
    <s v="BIKE"/>
    <s v="INTEGRATED-IBBN-RC-009659-13"/>
    <s v="7 DAYS"/>
    <n v="176"/>
    <n v="2"/>
    <n v="0"/>
    <n v="148"/>
    <n v="28"/>
    <n v="176"/>
    <n v="8"/>
    <n v="13"/>
    <n v="473.54998779296875"/>
    <n v="0"/>
    <n v="0"/>
    <n v="0"/>
    <n v="5280"/>
    <n v="50"/>
    <n v="0"/>
    <n v="0"/>
    <n v="315.45001220703125"/>
    <n v="2280"/>
    <n v="0"/>
    <n v="0"/>
    <n v="0"/>
    <n v="84"/>
    <n v="0"/>
    <n v="500"/>
    <n v="0"/>
    <n v="62.53204345703125"/>
    <n v="0"/>
    <n v="0"/>
    <n v="0"/>
    <s v=""/>
    <n v="0"/>
    <s v=""/>
    <n v="8509.4501953125"/>
    <n v="3229.449951171875"/>
    <n v="8509.4501953125"/>
    <n v="8509.4501953125"/>
    <n v="8509.4501953125"/>
    <n v="422.40000000000003"/>
    <n v="8931.8501953124996"/>
    <n v="0"/>
    <n v="1607.7330351562498"/>
    <n v="536.0953369140625"/>
    <n v="10539.58323046875"/>
    <n v="9471.017578125"/>
    <n v="50.766605377197266"/>
    <s v="Ready To Pay"/>
    <s v="Draft"/>
    <m/>
    <m/>
    <m/>
    <m/>
    <d v="2024-12-19T00:00:00"/>
    <n v="0"/>
    <n v="0"/>
    <n v="0"/>
    <n v="10543.208984375"/>
    <n v="8934.9228515625"/>
    <d v="2025-07-01T23:02:23"/>
  </r>
  <r>
    <n v="2025"/>
    <n v="6"/>
    <n v="4"/>
    <n v="735193"/>
    <s v="ELERIDEFIRSTDHAMMPAL AVHAD"/>
    <s v="TPL CEE"/>
    <s v="EV"/>
    <m/>
    <s v="PUNE"/>
    <x v="2"/>
    <s v="Service Fees"/>
    <s v="INTEGRATED"/>
    <s v="ELERIDE MOBILITY SOLUTIONS PVT LTD"/>
    <s v="BIKE"/>
    <s v="INTEGRATED-IBBN-RC-008583-19"/>
    <s v="7 DAYS"/>
    <n v="32"/>
    <n v="0"/>
    <n v="0"/>
    <n v="31"/>
    <n v="1"/>
    <n v="32"/>
    <n v="4"/>
    <n v="17"/>
    <n v="73.980003356933594"/>
    <n v="0"/>
    <n v="0"/>
    <n v="0"/>
    <n v="800"/>
    <n v="40"/>
    <n v="0"/>
    <n v="0"/>
    <n v="35.349998474121094"/>
    <n v="110"/>
    <n v="0"/>
    <n v="0"/>
    <n v="0"/>
    <n v="3"/>
    <n v="0"/>
    <n v="0"/>
    <n v="0"/>
    <n v="13.12166690826416"/>
    <n v="0"/>
    <n v="0"/>
    <n v="0"/>
    <s v=""/>
    <n v="70"/>
    <s v="IBND DEDUCTION"/>
    <n v="988.3499755859375"/>
    <n v="188.35000610351562"/>
    <n v="988.3499755859375"/>
    <n v="988.3499755859375"/>
    <n v="918.3499755859375"/>
    <n v="64"/>
    <n v="982.3499755859375"/>
    <n v="0"/>
    <n v="176.82299560546875"/>
    <n v="57.856048583984375"/>
    <n v="1159.1729711914063"/>
    <n v="1022.12353515625"/>
    <n v="30.133359909057617"/>
    <s v="Ready To Pay"/>
    <s v="Draft"/>
    <m/>
    <m/>
    <m/>
    <m/>
    <m/>
    <n v="0"/>
    <n v="0"/>
    <n v="0"/>
    <n v="1137.835693359375"/>
    <n v="964.26751708984375"/>
    <d v="2025-07-01T23:02:23"/>
  </r>
  <r>
    <m/>
    <m/>
    <m/>
    <m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5" firstHeaderRow="0" firstDataRow="1" firstDataCol="1"/>
  <pivotFields count="7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9"/>
        <item x="3"/>
        <item x="7"/>
        <item x="0"/>
        <item x="5"/>
        <item x="4"/>
        <item x="8"/>
        <item x="1"/>
        <item x="6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6" baseField="9" baseItem="0"/>
    <dataField name="Sum of total_with_arrears_and_deductions" fld="52" baseField="9" baseItem="0"/>
    <dataField name="Sum of management_fee" fld="53" baseField="9" baseItem="0"/>
    <dataField name="Sum of total_with_management_fee" fld="54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0"/>
  <sheetViews>
    <sheetView topLeftCell="A11" workbookViewId="0">
      <selection activeCell="B26" sqref="B26"/>
    </sheetView>
  </sheetViews>
  <sheetFormatPr defaultRowHeight="14.25"/>
  <cols>
    <col min="1" max="1" width="27" bestFit="1" customWidth="1"/>
    <col min="2" max="2" width="23.25" customWidth="1"/>
    <col min="3" max="3" width="39.375" customWidth="1"/>
    <col min="4" max="4" width="23" customWidth="1"/>
    <col min="5" max="5" width="32.75" customWidth="1"/>
  </cols>
  <sheetData>
    <row r="3" spans="1:5">
      <c r="A3" s="28" t="s">
        <v>238</v>
      </c>
      <c r="B3" t="s">
        <v>241</v>
      </c>
      <c r="C3" t="s">
        <v>242</v>
      </c>
      <c r="D3" t="s">
        <v>243</v>
      </c>
      <c r="E3" t="s">
        <v>244</v>
      </c>
    </row>
    <row r="4" spans="1:5">
      <c r="A4" s="6" t="s">
        <v>104</v>
      </c>
      <c r="B4" s="29">
        <v>392</v>
      </c>
      <c r="C4" s="29">
        <v>17211.700073242188</v>
      </c>
      <c r="D4" s="29">
        <v>855.6</v>
      </c>
      <c r="E4" s="29">
        <v>18067.300073242186</v>
      </c>
    </row>
    <row r="5" spans="1:5">
      <c r="A5" s="6" t="s">
        <v>180</v>
      </c>
      <c r="B5" s="29">
        <v>176</v>
      </c>
      <c r="C5" s="29">
        <v>8509.4501953125</v>
      </c>
      <c r="D5" s="29">
        <v>422.40000000000003</v>
      </c>
      <c r="E5" s="29">
        <v>8931.8501953124996</v>
      </c>
    </row>
    <row r="6" spans="1:5">
      <c r="A6" s="6" t="s">
        <v>114</v>
      </c>
      <c r="B6" s="29">
        <v>233</v>
      </c>
      <c r="C6" s="29">
        <v>17004.650024414063</v>
      </c>
      <c r="D6" s="29">
        <v>562.4</v>
      </c>
      <c r="E6" s="29">
        <v>17567.050024414064</v>
      </c>
    </row>
    <row r="7" spans="1:5">
      <c r="A7" s="6" t="s">
        <v>155</v>
      </c>
      <c r="B7" s="29">
        <v>72</v>
      </c>
      <c r="C7" s="29">
        <v>2644.10009765625</v>
      </c>
      <c r="D7" s="29">
        <v>144</v>
      </c>
      <c r="E7" s="29">
        <v>2788.10009765625</v>
      </c>
    </row>
    <row r="8" spans="1:5">
      <c r="A8" s="6" t="s">
        <v>79</v>
      </c>
      <c r="B8" s="29">
        <v>320</v>
      </c>
      <c r="C8" s="29">
        <v>13791.1396484375</v>
      </c>
      <c r="D8" s="29">
        <v>646</v>
      </c>
      <c r="E8" s="29">
        <v>14437.1396484375</v>
      </c>
    </row>
    <row r="9" spans="1:5">
      <c r="A9" s="6" t="s">
        <v>129</v>
      </c>
      <c r="B9" s="29">
        <v>29</v>
      </c>
      <c r="C9" s="29">
        <v>1072.699951171875</v>
      </c>
      <c r="D9" s="29">
        <v>60</v>
      </c>
      <c r="E9" s="29">
        <v>1132.699951171875</v>
      </c>
    </row>
    <row r="10" spans="1:5">
      <c r="A10" s="6" t="s">
        <v>122</v>
      </c>
      <c r="B10" s="29">
        <v>69</v>
      </c>
      <c r="C10" s="29">
        <v>2443.199951171875</v>
      </c>
      <c r="D10" s="29">
        <v>142</v>
      </c>
      <c r="E10" s="29">
        <v>2585.199951171875</v>
      </c>
    </row>
    <row r="11" spans="1:5">
      <c r="A11" s="6" t="s">
        <v>161</v>
      </c>
      <c r="B11" s="29">
        <v>27</v>
      </c>
      <c r="C11" s="29">
        <v>846.0999755859375</v>
      </c>
      <c r="D11" s="29">
        <v>54</v>
      </c>
      <c r="E11" s="29">
        <v>900.0999755859375</v>
      </c>
    </row>
    <row r="12" spans="1:5">
      <c r="A12" s="6" t="s">
        <v>96</v>
      </c>
      <c r="B12" s="29">
        <v>142</v>
      </c>
      <c r="C12" s="29">
        <v>7378.0001831054687</v>
      </c>
      <c r="D12" s="29">
        <v>291.60000000000002</v>
      </c>
      <c r="E12" s="29">
        <v>7669.6001831054691</v>
      </c>
    </row>
    <row r="13" spans="1:5">
      <c r="A13" s="6" t="s">
        <v>140</v>
      </c>
      <c r="B13" s="29">
        <v>487</v>
      </c>
      <c r="C13" s="29">
        <v>20436.549560546875</v>
      </c>
      <c r="D13" s="29">
        <v>1107.2</v>
      </c>
      <c r="E13" s="29">
        <v>21543.749560546872</v>
      </c>
    </row>
    <row r="14" spans="1:5">
      <c r="A14" s="6" t="s">
        <v>239</v>
      </c>
      <c r="B14" s="29"/>
      <c r="C14" s="29"/>
      <c r="D14" s="29"/>
      <c r="E14" s="29"/>
    </row>
    <row r="15" spans="1:5">
      <c r="A15" s="6" t="s">
        <v>240</v>
      </c>
      <c r="B15" s="29">
        <v>1947</v>
      </c>
      <c r="C15" s="29">
        <v>91337.589660644531</v>
      </c>
      <c r="D15" s="29">
        <v>4285.2</v>
      </c>
      <c r="E15" s="29">
        <v>95622.789660644528</v>
      </c>
    </row>
    <row r="18" spans="1:9">
      <c r="A18" t="s">
        <v>238</v>
      </c>
      <c r="B18" t="s">
        <v>241</v>
      </c>
      <c r="C18" t="s">
        <v>242</v>
      </c>
      <c r="D18" t="s">
        <v>243</v>
      </c>
      <c r="E18" t="s">
        <v>244</v>
      </c>
    </row>
    <row r="19" spans="1:9">
      <c r="A19" t="s">
        <v>104</v>
      </c>
      <c r="B19" s="30">
        <v>392</v>
      </c>
      <c r="C19" s="30">
        <v>17211.700073242188</v>
      </c>
      <c r="D19" s="30">
        <v>855.6</v>
      </c>
      <c r="E19" s="30">
        <v>18067.300073242186</v>
      </c>
      <c r="G19" s="31">
        <v>17211.700073242188</v>
      </c>
      <c r="H19" s="31"/>
      <c r="I19" s="31"/>
    </row>
    <row r="20" spans="1:9">
      <c r="A20" t="s">
        <v>180</v>
      </c>
      <c r="B20" s="30">
        <v>176</v>
      </c>
      <c r="C20" s="30">
        <v>8509.4501953125</v>
      </c>
      <c r="D20" s="30">
        <v>422.40000000000003</v>
      </c>
      <c r="E20" s="30">
        <v>8931.8501953124996</v>
      </c>
      <c r="G20" s="31">
        <v>8509.4501953125</v>
      </c>
      <c r="H20" s="31"/>
      <c r="I20" s="31"/>
    </row>
    <row r="21" spans="1:9">
      <c r="A21" t="s">
        <v>114</v>
      </c>
      <c r="B21" s="30">
        <v>233</v>
      </c>
      <c r="C21" s="30">
        <v>17004.650024414063</v>
      </c>
      <c r="D21" s="30">
        <v>562.4</v>
      </c>
      <c r="E21" s="30">
        <v>17567.050024414064</v>
      </c>
      <c r="G21" s="31">
        <v>17004.650024414063</v>
      </c>
      <c r="H21" s="31"/>
      <c r="I21" s="31"/>
    </row>
    <row r="22" spans="1:9">
      <c r="A22" t="s">
        <v>155</v>
      </c>
      <c r="B22" s="30">
        <v>72</v>
      </c>
      <c r="C22" s="30">
        <v>2644.10009765625</v>
      </c>
      <c r="D22" s="30">
        <v>144</v>
      </c>
      <c r="E22" s="30">
        <v>2788.10009765625</v>
      </c>
      <c r="G22" s="31">
        <v>2644.10009765625</v>
      </c>
      <c r="H22" s="31"/>
      <c r="I22" s="31"/>
    </row>
    <row r="23" spans="1:9">
      <c r="A23" t="s">
        <v>79</v>
      </c>
      <c r="B23" s="30">
        <v>320</v>
      </c>
      <c r="C23" s="30">
        <v>13791.1396484375</v>
      </c>
      <c r="D23" s="30">
        <v>646</v>
      </c>
      <c r="E23" s="30">
        <v>14437.1396484375</v>
      </c>
      <c r="G23" s="31">
        <v>13791.1396484375</v>
      </c>
      <c r="H23" s="31"/>
      <c r="I23" s="31"/>
    </row>
    <row r="24" spans="1:9">
      <c r="A24" t="s">
        <v>129</v>
      </c>
      <c r="B24" s="30">
        <v>29</v>
      </c>
      <c r="C24" s="30">
        <v>1072.699951171875</v>
      </c>
      <c r="D24" s="30">
        <v>60</v>
      </c>
      <c r="E24" s="30">
        <v>1132.699951171875</v>
      </c>
      <c r="G24" s="31">
        <v>1072.699951171875</v>
      </c>
      <c r="H24" s="31"/>
      <c r="I24" s="31"/>
    </row>
    <row r="25" spans="1:9">
      <c r="A25" t="s">
        <v>122</v>
      </c>
      <c r="B25" s="30">
        <v>69</v>
      </c>
      <c r="C25" s="30">
        <v>2443.199951171875</v>
      </c>
      <c r="D25" s="30">
        <v>142</v>
      </c>
      <c r="E25" s="30">
        <v>2585.199951171875</v>
      </c>
      <c r="G25" s="31">
        <v>2443.199951171875</v>
      </c>
      <c r="H25" s="31"/>
      <c r="I25" s="31"/>
    </row>
    <row r="26" spans="1:9">
      <c r="A26" t="s">
        <v>161</v>
      </c>
      <c r="B26" s="30">
        <v>27</v>
      </c>
      <c r="C26" s="30">
        <v>846.0999755859375</v>
      </c>
      <c r="D26" s="30">
        <v>54</v>
      </c>
      <c r="E26" s="30">
        <v>900.0999755859375</v>
      </c>
      <c r="G26" s="31">
        <v>846.0999755859375</v>
      </c>
      <c r="H26" s="31"/>
      <c r="I26" s="31"/>
    </row>
    <row r="27" spans="1:9">
      <c r="A27" t="s">
        <v>96</v>
      </c>
      <c r="B27" s="30">
        <v>142</v>
      </c>
      <c r="C27" s="30">
        <v>7378.0001831054687</v>
      </c>
      <c r="D27" s="30">
        <v>291.60000000000002</v>
      </c>
      <c r="E27" s="30">
        <v>7669.6001831054691</v>
      </c>
      <c r="G27" s="31">
        <v>7378.0001831054687</v>
      </c>
      <c r="H27" s="31"/>
      <c r="I27" s="31"/>
    </row>
    <row r="28" spans="1:9">
      <c r="A28" t="s">
        <v>140</v>
      </c>
      <c r="B28" s="30">
        <v>487</v>
      </c>
      <c r="C28" s="30">
        <v>20436.549560546875</v>
      </c>
      <c r="D28" s="30">
        <v>1107.2</v>
      </c>
      <c r="E28" s="30">
        <v>21543.749560546872</v>
      </c>
      <c r="G28" s="31">
        <v>20436.549560546875</v>
      </c>
      <c r="H28" s="31"/>
      <c r="I28" s="31"/>
    </row>
    <row r="29" spans="1:9">
      <c r="A29" t="s">
        <v>239</v>
      </c>
      <c r="B29" s="30"/>
      <c r="C29" s="30"/>
      <c r="D29" s="30"/>
      <c r="E29" s="30"/>
    </row>
    <row r="30" spans="1:9">
      <c r="A30" t="s">
        <v>240</v>
      </c>
      <c r="B30" s="30">
        <v>1947</v>
      </c>
      <c r="C30" s="30">
        <v>91337.589660644531</v>
      </c>
      <c r="D30" s="30">
        <v>4285.2</v>
      </c>
      <c r="E30" s="30">
        <v>95622.789660644528</v>
      </c>
    </row>
  </sheetData>
  <mergeCells count="10">
    <mergeCell ref="G25:I25"/>
    <mergeCell ref="G26:I26"/>
    <mergeCell ref="G27:I27"/>
    <mergeCell ref="G28:I28"/>
    <mergeCell ref="G19:I19"/>
    <mergeCell ref="G20:I20"/>
    <mergeCell ref="G21:I21"/>
    <mergeCell ref="G22:I22"/>
    <mergeCell ref="G23:I23"/>
    <mergeCell ref="G24:I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1"/>
  <sheetViews>
    <sheetView workbookViewId="0">
      <selection activeCell="E18" sqref="E18"/>
    </sheetView>
  </sheetViews>
  <sheetFormatPr defaultRowHeight="14.25"/>
  <cols>
    <col min="5" max="5" width="37.5" bestFit="1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s="2">
        <v>2025</v>
      </c>
      <c r="B2" s="2">
        <v>6</v>
      </c>
      <c r="C2" s="2">
        <v>4</v>
      </c>
      <c r="D2" s="2">
        <v>810447</v>
      </c>
      <c r="E2" s="6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2">
        <v>50</v>
      </c>
      <c r="R2" s="2">
        <v>0</v>
      </c>
      <c r="S2" s="2">
        <v>0</v>
      </c>
      <c r="T2" s="2">
        <v>23</v>
      </c>
      <c r="U2" s="2">
        <v>27</v>
      </c>
      <c r="V2" s="2">
        <v>50</v>
      </c>
      <c r="W2" s="2">
        <v>4</v>
      </c>
      <c r="X2" s="2">
        <v>4</v>
      </c>
      <c r="Y2" s="3">
        <v>87.900001525878906</v>
      </c>
      <c r="Z2" s="2">
        <v>0</v>
      </c>
      <c r="AA2" s="2">
        <v>0</v>
      </c>
      <c r="AB2" s="2">
        <v>0</v>
      </c>
      <c r="AC2" s="2">
        <v>1250</v>
      </c>
      <c r="AD2" s="2">
        <v>25</v>
      </c>
      <c r="AE2" s="2">
        <v>0</v>
      </c>
      <c r="AF2" s="2">
        <v>0</v>
      </c>
      <c r="AG2" s="2">
        <v>0</v>
      </c>
      <c r="AH2" s="2">
        <v>463</v>
      </c>
      <c r="AI2" s="2">
        <v>0</v>
      </c>
      <c r="AJ2" s="2">
        <v>0</v>
      </c>
      <c r="AK2" s="2">
        <v>30</v>
      </c>
      <c r="AL2" s="2">
        <v>81</v>
      </c>
      <c r="AM2" s="2">
        <v>0</v>
      </c>
      <c r="AN2" s="2">
        <v>0</v>
      </c>
      <c r="AO2" s="2">
        <v>0</v>
      </c>
      <c r="AP2" s="3">
        <v>20.871610641479492</v>
      </c>
      <c r="AQ2" s="2">
        <v>0</v>
      </c>
      <c r="AR2" s="2">
        <v>0</v>
      </c>
      <c r="AS2" s="2">
        <v>0</v>
      </c>
      <c r="AT2" s="1" t="s">
        <v>86</v>
      </c>
      <c r="AU2" s="2">
        <v>0</v>
      </c>
      <c r="AV2" s="1" t="s">
        <v>86</v>
      </c>
      <c r="AW2" s="2">
        <v>1849</v>
      </c>
      <c r="AX2" s="2">
        <v>599</v>
      </c>
      <c r="AY2" s="2">
        <v>1849</v>
      </c>
      <c r="AZ2" s="2">
        <v>1849</v>
      </c>
      <c r="BA2" s="2">
        <v>1849</v>
      </c>
      <c r="BB2" s="2">
        <v>100</v>
      </c>
      <c r="BC2" s="3">
        <v>1949</v>
      </c>
      <c r="BD2" s="2">
        <v>0</v>
      </c>
      <c r="BE2" s="3">
        <v>350.82</v>
      </c>
      <c r="BF2" s="3">
        <v>116.48699951171875</v>
      </c>
      <c r="BG2" s="3">
        <v>2299.8200000000002</v>
      </c>
      <c r="BH2" s="3">
        <v>2057.93701171875</v>
      </c>
      <c r="BI2" s="3">
        <v>38.828998565673828</v>
      </c>
      <c r="BJ2" s="1" t="s">
        <v>87</v>
      </c>
      <c r="BK2" s="1" t="s">
        <v>88</v>
      </c>
      <c r="BL2" s="1" t="s">
        <v>89</v>
      </c>
      <c r="BM2" s="1" t="s">
        <v>90</v>
      </c>
      <c r="BN2" s="1" t="s">
        <v>91</v>
      </c>
      <c r="BO2" s="1" t="s">
        <v>92</v>
      </c>
      <c r="BP2" s="4">
        <v>45835</v>
      </c>
      <c r="BQ2" s="2">
        <v>0</v>
      </c>
      <c r="BR2" s="2">
        <v>0</v>
      </c>
      <c r="BS2" s="2">
        <v>0</v>
      </c>
      <c r="BT2" s="3">
        <v>2290.910888671875</v>
      </c>
      <c r="BU2" s="3">
        <v>1941.449951171875</v>
      </c>
      <c r="BV2" s="5">
        <v>45839.96</v>
      </c>
    </row>
    <row r="3" spans="1:74">
      <c r="A3" s="2">
        <v>2025</v>
      </c>
      <c r="B3" s="2">
        <v>6</v>
      </c>
      <c r="C3" s="2">
        <v>4</v>
      </c>
      <c r="D3" s="2">
        <v>810353</v>
      </c>
      <c r="E3" s="6" t="s">
        <v>93</v>
      </c>
      <c r="F3" s="1" t="s">
        <v>75</v>
      </c>
      <c r="G3" s="1" t="s">
        <v>94</v>
      </c>
      <c r="H3" s="1" t="s">
        <v>95</v>
      </c>
      <c r="I3" s="1" t="s">
        <v>78</v>
      </c>
      <c r="J3" s="1" t="s">
        <v>96</v>
      </c>
      <c r="K3" s="1" t="s">
        <v>80</v>
      </c>
      <c r="L3" s="1" t="s">
        <v>81</v>
      </c>
      <c r="M3" s="1" t="s">
        <v>82</v>
      </c>
      <c r="N3" s="1" t="s">
        <v>83</v>
      </c>
      <c r="O3" s="1" t="s">
        <v>97</v>
      </c>
      <c r="P3" s="1" t="s">
        <v>85</v>
      </c>
      <c r="Q3" s="2">
        <v>19</v>
      </c>
      <c r="R3" s="2">
        <v>1</v>
      </c>
      <c r="S3" s="2">
        <v>0</v>
      </c>
      <c r="T3" s="2">
        <v>10</v>
      </c>
      <c r="U3" s="2">
        <v>9</v>
      </c>
      <c r="V3" s="2">
        <v>19</v>
      </c>
      <c r="W3" s="2">
        <v>2</v>
      </c>
      <c r="X3" s="2">
        <v>2</v>
      </c>
      <c r="Y3" s="3">
        <v>60.430000305175781</v>
      </c>
      <c r="Z3" s="2">
        <v>0</v>
      </c>
      <c r="AA3" s="2">
        <v>0</v>
      </c>
      <c r="AB3" s="2">
        <v>0</v>
      </c>
      <c r="AC3" s="2">
        <v>570</v>
      </c>
      <c r="AD3" s="2">
        <v>5</v>
      </c>
      <c r="AE3" s="2">
        <v>200</v>
      </c>
      <c r="AF3" s="2">
        <v>0</v>
      </c>
      <c r="AG3" s="3">
        <v>73.300003051757812</v>
      </c>
      <c r="AH3" s="2">
        <v>0</v>
      </c>
      <c r="AI3" s="2">
        <v>0</v>
      </c>
      <c r="AJ3" s="2">
        <v>0</v>
      </c>
      <c r="AK3" s="2">
        <v>0</v>
      </c>
      <c r="AL3" s="2">
        <v>27</v>
      </c>
      <c r="AM3" s="2">
        <v>0</v>
      </c>
      <c r="AN3" s="2">
        <v>0</v>
      </c>
      <c r="AO3" s="2">
        <v>0</v>
      </c>
      <c r="AP3" s="3">
        <v>13.911833763122559</v>
      </c>
      <c r="AQ3" s="2">
        <v>0</v>
      </c>
      <c r="AR3" s="2">
        <v>0</v>
      </c>
      <c r="AS3" s="2">
        <v>0</v>
      </c>
      <c r="AT3" s="1" t="s">
        <v>86</v>
      </c>
      <c r="AU3" s="2">
        <v>0</v>
      </c>
      <c r="AV3" s="1" t="s">
        <v>86</v>
      </c>
      <c r="AW3" s="3">
        <v>875.29998779296875</v>
      </c>
      <c r="AX3" s="3">
        <v>305.29998779296875</v>
      </c>
      <c r="AY3" s="3">
        <v>875.29998779296875</v>
      </c>
      <c r="AZ3" s="3">
        <v>875.29998779296875</v>
      </c>
      <c r="BA3" s="3">
        <v>875.29998779296875</v>
      </c>
      <c r="BB3" s="2">
        <v>45.6</v>
      </c>
      <c r="BC3" s="3">
        <v>920.89998779296877</v>
      </c>
      <c r="BD3" s="2">
        <v>0</v>
      </c>
      <c r="BE3" s="3">
        <v>165.76199780273438</v>
      </c>
      <c r="BF3" s="3">
        <v>52.518001556396484</v>
      </c>
      <c r="BG3" s="3">
        <v>1086.6619855957031</v>
      </c>
      <c r="BH3" s="3">
        <v>927.8179931640625</v>
      </c>
      <c r="BI3" s="3">
        <v>46.06842041015625</v>
      </c>
      <c r="BJ3" s="1" t="s">
        <v>87</v>
      </c>
      <c r="BK3" s="1" t="s">
        <v>88</v>
      </c>
      <c r="BL3" s="1" t="s">
        <v>98</v>
      </c>
      <c r="BM3" s="1" t="s">
        <v>99</v>
      </c>
      <c r="BN3" s="1" t="s">
        <v>100</v>
      </c>
      <c r="BO3" s="1" t="s">
        <v>101</v>
      </c>
      <c r="BP3" s="4">
        <v>45835</v>
      </c>
      <c r="BQ3" s="2">
        <v>0</v>
      </c>
      <c r="BR3" s="2">
        <v>0</v>
      </c>
      <c r="BS3" s="2">
        <v>0</v>
      </c>
      <c r="BT3" s="3">
        <v>1032.85400390625</v>
      </c>
      <c r="BU3" s="3">
        <v>875.29998779296875</v>
      </c>
      <c r="BV3" s="5">
        <v>45839.96</v>
      </c>
    </row>
    <row r="4" spans="1:74">
      <c r="A4" s="2">
        <v>2025</v>
      </c>
      <c r="B4" s="2">
        <v>6</v>
      </c>
      <c r="C4" s="2">
        <v>4</v>
      </c>
      <c r="D4" s="2">
        <v>784832</v>
      </c>
      <c r="E4" s="6" t="s">
        <v>102</v>
      </c>
      <c r="F4" s="1" t="s">
        <v>75</v>
      </c>
      <c r="G4" s="1" t="s">
        <v>94</v>
      </c>
      <c r="H4" s="1" t="s">
        <v>103</v>
      </c>
      <c r="I4" s="1" t="s">
        <v>78</v>
      </c>
      <c r="J4" s="1" t="s">
        <v>104</v>
      </c>
      <c r="K4" s="1" t="s">
        <v>80</v>
      </c>
      <c r="L4" s="1" t="s">
        <v>81</v>
      </c>
      <c r="M4" s="1" t="s">
        <v>82</v>
      </c>
      <c r="N4" s="1" t="s">
        <v>83</v>
      </c>
      <c r="O4" s="1" t="s">
        <v>105</v>
      </c>
      <c r="P4" s="1" t="s">
        <v>85</v>
      </c>
      <c r="Q4" s="2">
        <v>151</v>
      </c>
      <c r="R4" s="2">
        <v>3</v>
      </c>
      <c r="S4" s="2">
        <v>0</v>
      </c>
      <c r="T4" s="2">
        <v>105</v>
      </c>
      <c r="U4" s="2">
        <v>46</v>
      </c>
      <c r="V4" s="2">
        <v>151</v>
      </c>
      <c r="W4" s="2">
        <v>8</v>
      </c>
      <c r="X4" s="2">
        <v>27</v>
      </c>
      <c r="Y4" s="3">
        <v>371.58999633789062</v>
      </c>
      <c r="Z4" s="2">
        <v>0</v>
      </c>
      <c r="AA4" s="2">
        <v>90</v>
      </c>
      <c r="AB4" s="2">
        <v>0</v>
      </c>
      <c r="AC4" s="2">
        <v>4620</v>
      </c>
      <c r="AD4" s="2">
        <v>100</v>
      </c>
      <c r="AE4" s="2">
        <v>0</v>
      </c>
      <c r="AF4" s="2">
        <v>0</v>
      </c>
      <c r="AG4" s="3">
        <v>109.65000152587891</v>
      </c>
      <c r="AH4" s="2">
        <v>1785</v>
      </c>
      <c r="AI4" s="2">
        <v>0</v>
      </c>
      <c r="AJ4" s="2">
        <v>0</v>
      </c>
      <c r="AK4" s="2">
        <v>0</v>
      </c>
      <c r="AL4" s="2">
        <v>138</v>
      </c>
      <c r="AM4" s="2">
        <v>3000</v>
      </c>
      <c r="AN4" s="2">
        <v>500</v>
      </c>
      <c r="AO4" s="2">
        <v>0</v>
      </c>
      <c r="AP4" s="3">
        <v>68.472389221191406</v>
      </c>
      <c r="AQ4" s="2">
        <v>0</v>
      </c>
      <c r="AR4" s="2">
        <v>0</v>
      </c>
      <c r="AS4" s="2">
        <v>0</v>
      </c>
      <c r="AT4" s="1" t="s">
        <v>86</v>
      </c>
      <c r="AU4" s="2">
        <v>3000</v>
      </c>
      <c r="AV4" s="1" t="s">
        <v>106</v>
      </c>
      <c r="AW4" s="3">
        <v>10252.650390625</v>
      </c>
      <c r="AX4" s="3">
        <v>5632.64990234375</v>
      </c>
      <c r="AY4" s="3">
        <v>10252.650390625</v>
      </c>
      <c r="AZ4" s="3">
        <v>10252.650390625</v>
      </c>
      <c r="BA4" s="3">
        <v>7252.64990234375</v>
      </c>
      <c r="BB4" s="2">
        <v>369.6</v>
      </c>
      <c r="BC4" s="3">
        <v>7622.2499023437504</v>
      </c>
      <c r="BD4" s="2">
        <v>0</v>
      </c>
      <c r="BE4" s="3">
        <v>1372.004982421875</v>
      </c>
      <c r="BF4" s="3">
        <v>456.91696166992187</v>
      </c>
      <c r="BG4" s="3">
        <v>8994.2548847656253</v>
      </c>
      <c r="BH4" s="3">
        <v>8072.19921875</v>
      </c>
      <c r="BI4" s="3">
        <v>50.432334899902344</v>
      </c>
      <c r="BJ4" s="1" t="s">
        <v>87</v>
      </c>
      <c r="BK4" s="1" t="s">
        <v>88</v>
      </c>
      <c r="BL4" s="1" t="s">
        <v>107</v>
      </c>
      <c r="BM4" s="1" t="s">
        <v>108</v>
      </c>
      <c r="BN4" s="1" t="s">
        <v>109</v>
      </c>
      <c r="BO4" s="1" t="s">
        <v>110</v>
      </c>
      <c r="BP4" s="4">
        <v>45782</v>
      </c>
      <c r="BQ4" s="2">
        <v>0</v>
      </c>
      <c r="BR4" s="2">
        <v>0</v>
      </c>
      <c r="BS4" s="2">
        <v>0</v>
      </c>
      <c r="BT4" s="3">
        <v>8986.033203125</v>
      </c>
      <c r="BU4" s="3">
        <v>7615.28271484375</v>
      </c>
      <c r="BV4" s="5">
        <v>45839.96</v>
      </c>
    </row>
    <row r="5" spans="1:74">
      <c r="A5" s="2">
        <v>2025</v>
      </c>
      <c r="B5" s="2">
        <v>6</v>
      </c>
      <c r="C5" s="2">
        <v>4</v>
      </c>
      <c r="D5" s="2">
        <v>793343</v>
      </c>
      <c r="E5" s="6" t="s">
        <v>111</v>
      </c>
      <c r="F5" s="1" t="s">
        <v>75</v>
      </c>
      <c r="G5" s="1" t="s">
        <v>112</v>
      </c>
      <c r="H5" s="1" t="s">
        <v>113</v>
      </c>
      <c r="I5" s="1" t="s">
        <v>78</v>
      </c>
      <c r="J5" s="1" t="s">
        <v>114</v>
      </c>
      <c r="K5" s="1" t="s">
        <v>80</v>
      </c>
      <c r="L5" s="1" t="s">
        <v>81</v>
      </c>
      <c r="M5" s="1" t="s">
        <v>82</v>
      </c>
      <c r="N5" s="1" t="s">
        <v>83</v>
      </c>
      <c r="O5" s="1" t="s">
        <v>115</v>
      </c>
      <c r="P5" s="1" t="s">
        <v>85</v>
      </c>
      <c r="Q5" s="2">
        <v>18</v>
      </c>
      <c r="R5" s="2">
        <v>0</v>
      </c>
      <c r="S5" s="2">
        <v>4</v>
      </c>
      <c r="T5" s="2">
        <v>0</v>
      </c>
      <c r="U5" s="2">
        <v>18</v>
      </c>
      <c r="V5" s="2">
        <v>22</v>
      </c>
      <c r="W5" s="2">
        <v>1</v>
      </c>
      <c r="X5" s="2">
        <v>22</v>
      </c>
      <c r="Y5" s="3">
        <v>54.950000762939453</v>
      </c>
      <c r="Z5" s="2">
        <v>0</v>
      </c>
      <c r="AA5" s="2">
        <v>0</v>
      </c>
      <c r="AB5" s="2">
        <v>100</v>
      </c>
      <c r="AC5" s="2">
        <v>550</v>
      </c>
      <c r="AD5" s="2">
        <v>0</v>
      </c>
      <c r="AE5" s="2">
        <v>440</v>
      </c>
      <c r="AF5" s="2">
        <v>0</v>
      </c>
      <c r="AG5" s="3">
        <v>38.650001525878906</v>
      </c>
      <c r="AH5" s="2">
        <v>330</v>
      </c>
      <c r="AI5" s="2">
        <v>0</v>
      </c>
      <c r="AJ5" s="2">
        <v>0</v>
      </c>
      <c r="AK5" s="2">
        <v>0</v>
      </c>
      <c r="AL5" s="2">
        <v>66</v>
      </c>
      <c r="AM5" s="2">
        <v>0</v>
      </c>
      <c r="AN5" s="2">
        <v>0</v>
      </c>
      <c r="AO5" s="2">
        <v>0</v>
      </c>
      <c r="AP5" s="3">
        <v>6.1824445724487305</v>
      </c>
      <c r="AQ5" s="2">
        <v>0</v>
      </c>
      <c r="AR5" s="2">
        <v>0</v>
      </c>
      <c r="AS5" s="2">
        <v>0</v>
      </c>
      <c r="AT5" s="1" t="s">
        <v>86</v>
      </c>
      <c r="AU5" s="2">
        <v>49</v>
      </c>
      <c r="AV5" s="1" t="s">
        <v>116</v>
      </c>
      <c r="AW5" s="3">
        <v>1424.6500244140625</v>
      </c>
      <c r="AX5" s="3">
        <v>874.6500244140625</v>
      </c>
      <c r="AY5" s="3">
        <v>1424.6500244140625</v>
      </c>
      <c r="AZ5" s="3">
        <v>1424.6500244140625</v>
      </c>
      <c r="BA5" s="3">
        <v>1375.6500244140625</v>
      </c>
      <c r="BB5" s="2">
        <v>44</v>
      </c>
      <c r="BC5" s="3">
        <v>1419.6500244140625</v>
      </c>
      <c r="BD5" s="2">
        <v>0</v>
      </c>
      <c r="BE5" s="3">
        <v>255.53700439453124</v>
      </c>
      <c r="BF5" s="3">
        <v>86.665946960449219</v>
      </c>
      <c r="BG5" s="3">
        <v>1675.1870288085938</v>
      </c>
      <c r="BH5" s="3">
        <v>1531.0985107421875</v>
      </c>
      <c r="BI5" s="3">
        <v>80.246246337890625</v>
      </c>
      <c r="BJ5" s="1" t="s">
        <v>87</v>
      </c>
      <c r="BK5" s="1" t="s">
        <v>88</v>
      </c>
      <c r="BL5" s="1" t="s">
        <v>117</v>
      </c>
      <c r="BM5" s="1" t="s">
        <v>118</v>
      </c>
      <c r="BN5" s="1" t="s">
        <v>119</v>
      </c>
      <c r="BO5" s="1" t="s">
        <v>92</v>
      </c>
      <c r="BP5" s="4">
        <v>45800</v>
      </c>
      <c r="BQ5" s="2">
        <v>0</v>
      </c>
      <c r="BR5" s="2">
        <v>0</v>
      </c>
      <c r="BS5" s="2">
        <v>0</v>
      </c>
      <c r="BT5" s="3">
        <v>1704.4302978515625</v>
      </c>
      <c r="BU5" s="3">
        <v>1444.4324951171875</v>
      </c>
      <c r="BV5" s="5">
        <v>45839.96</v>
      </c>
    </row>
    <row r="6" spans="1:74">
      <c r="A6" s="2">
        <v>2025</v>
      </c>
      <c r="B6" s="2">
        <v>6</v>
      </c>
      <c r="C6" s="2">
        <v>4</v>
      </c>
      <c r="D6" s="2">
        <v>799957</v>
      </c>
      <c r="E6" s="6" t="s">
        <v>120</v>
      </c>
      <c r="F6" s="1" t="s">
        <v>75</v>
      </c>
      <c r="G6" s="1" t="s">
        <v>112</v>
      </c>
      <c r="H6" s="1" t="s">
        <v>121</v>
      </c>
      <c r="I6" s="1" t="s">
        <v>78</v>
      </c>
      <c r="J6" s="1" t="s">
        <v>122</v>
      </c>
      <c r="K6" s="1" t="s">
        <v>80</v>
      </c>
      <c r="L6" s="1" t="s">
        <v>81</v>
      </c>
      <c r="M6" s="1" t="s">
        <v>82</v>
      </c>
      <c r="N6" s="1" t="s">
        <v>83</v>
      </c>
      <c r="O6" s="1" t="s">
        <v>123</v>
      </c>
      <c r="P6" s="1" t="s">
        <v>85</v>
      </c>
      <c r="Q6" s="2">
        <v>69</v>
      </c>
      <c r="R6" s="2">
        <v>2</v>
      </c>
      <c r="S6" s="2">
        <v>0</v>
      </c>
      <c r="T6" s="2">
        <v>37</v>
      </c>
      <c r="U6" s="2">
        <v>32</v>
      </c>
      <c r="V6" s="2">
        <v>69</v>
      </c>
      <c r="W6" s="2">
        <v>5</v>
      </c>
      <c r="X6" s="2">
        <v>16</v>
      </c>
      <c r="Y6" s="3">
        <v>122.41000366210937</v>
      </c>
      <c r="Z6" s="2">
        <v>0</v>
      </c>
      <c r="AA6" s="2">
        <v>50</v>
      </c>
      <c r="AB6" s="2">
        <v>0</v>
      </c>
      <c r="AC6" s="2">
        <v>1775</v>
      </c>
      <c r="AD6" s="2">
        <v>50</v>
      </c>
      <c r="AE6" s="2">
        <v>0</v>
      </c>
      <c r="AF6" s="2">
        <v>0</v>
      </c>
      <c r="AG6" s="3">
        <v>34.200000762939453</v>
      </c>
      <c r="AH6" s="2">
        <v>485</v>
      </c>
      <c r="AI6" s="2">
        <v>0</v>
      </c>
      <c r="AJ6" s="2">
        <v>0</v>
      </c>
      <c r="AK6" s="2">
        <v>0</v>
      </c>
      <c r="AL6" s="2">
        <v>99</v>
      </c>
      <c r="AM6" s="2">
        <v>0</v>
      </c>
      <c r="AN6" s="2">
        <v>0</v>
      </c>
      <c r="AO6" s="2">
        <v>0</v>
      </c>
      <c r="AP6" s="3">
        <v>29.682500839233398</v>
      </c>
      <c r="AQ6" s="2">
        <v>0</v>
      </c>
      <c r="AR6" s="2">
        <v>0</v>
      </c>
      <c r="AS6" s="2">
        <v>0</v>
      </c>
      <c r="AT6" s="1" t="s">
        <v>86</v>
      </c>
      <c r="AU6" s="2">
        <v>0</v>
      </c>
      <c r="AV6" s="1" t="s">
        <v>86</v>
      </c>
      <c r="AW6" s="3">
        <v>2443.199951171875</v>
      </c>
      <c r="AX6" s="3">
        <v>668.20001220703125</v>
      </c>
      <c r="AY6" s="3">
        <v>2443.199951171875</v>
      </c>
      <c r="AZ6" s="3">
        <v>2443.199951171875</v>
      </c>
      <c r="BA6" s="3">
        <v>2443.199951171875</v>
      </c>
      <c r="BB6" s="2">
        <v>142</v>
      </c>
      <c r="BC6" s="3">
        <v>2585.199951171875</v>
      </c>
      <c r="BD6" s="2">
        <v>0</v>
      </c>
      <c r="BE6" s="3">
        <v>465.33599121093749</v>
      </c>
      <c r="BF6" s="3">
        <v>153.92160034179687</v>
      </c>
      <c r="BG6" s="3">
        <v>3050.5359423828127</v>
      </c>
      <c r="BH6" s="3">
        <v>2719.281494140625</v>
      </c>
      <c r="BI6" s="3">
        <v>37.179130554199219</v>
      </c>
      <c r="BJ6" s="1" t="s">
        <v>87</v>
      </c>
      <c r="BK6" s="1" t="s">
        <v>88</v>
      </c>
      <c r="BL6" s="1" t="s">
        <v>124</v>
      </c>
      <c r="BM6" s="1" t="s">
        <v>125</v>
      </c>
      <c r="BN6" s="1" t="s">
        <v>126</v>
      </c>
      <c r="BO6" s="1" t="s">
        <v>127</v>
      </c>
      <c r="BP6" s="4">
        <v>45814</v>
      </c>
      <c r="BQ6" s="2">
        <v>0</v>
      </c>
      <c r="BR6" s="2">
        <v>0</v>
      </c>
      <c r="BS6" s="2">
        <v>0</v>
      </c>
      <c r="BT6" s="3">
        <v>3027.124755859375</v>
      </c>
      <c r="BU6" s="3">
        <v>2565.360107421875</v>
      </c>
      <c r="BV6" s="5">
        <v>45839.96</v>
      </c>
    </row>
    <row r="7" spans="1:74">
      <c r="A7" s="2">
        <v>2025</v>
      </c>
      <c r="B7" s="2">
        <v>6</v>
      </c>
      <c r="C7" s="2">
        <v>4</v>
      </c>
      <c r="D7" s="2">
        <v>804059</v>
      </c>
      <c r="E7" s="6" t="s">
        <v>128</v>
      </c>
      <c r="F7" s="1" t="s">
        <v>75</v>
      </c>
      <c r="G7" s="1" t="s">
        <v>112</v>
      </c>
      <c r="H7" s="1"/>
      <c r="I7" s="1" t="s">
        <v>78</v>
      </c>
      <c r="J7" s="1" t="s">
        <v>129</v>
      </c>
      <c r="K7" s="1" t="s">
        <v>80</v>
      </c>
      <c r="L7" s="1" t="s">
        <v>81</v>
      </c>
      <c r="M7" s="1" t="s">
        <v>82</v>
      </c>
      <c r="N7" s="1" t="s">
        <v>83</v>
      </c>
      <c r="O7" s="1" t="s">
        <v>130</v>
      </c>
      <c r="P7" s="1" t="s">
        <v>85</v>
      </c>
      <c r="Q7" s="2">
        <v>29</v>
      </c>
      <c r="R7" s="2">
        <v>1</v>
      </c>
      <c r="S7" s="2">
        <v>0</v>
      </c>
      <c r="T7" s="2">
        <v>16</v>
      </c>
      <c r="U7" s="2">
        <v>13</v>
      </c>
      <c r="V7" s="2">
        <v>29</v>
      </c>
      <c r="W7" s="2">
        <v>2</v>
      </c>
      <c r="X7" s="2">
        <v>4</v>
      </c>
      <c r="Y7" s="3">
        <v>67.290000915527344</v>
      </c>
      <c r="Z7" s="2">
        <v>0</v>
      </c>
      <c r="AA7" s="2">
        <v>25</v>
      </c>
      <c r="AB7" s="2">
        <v>0</v>
      </c>
      <c r="AC7" s="2">
        <v>750</v>
      </c>
      <c r="AD7" s="2">
        <v>0</v>
      </c>
      <c r="AE7" s="2">
        <v>0</v>
      </c>
      <c r="AF7" s="2">
        <v>0</v>
      </c>
      <c r="AG7" s="3">
        <v>23.700000762939453</v>
      </c>
      <c r="AH7" s="2">
        <v>257</v>
      </c>
      <c r="AI7" s="2">
        <v>0</v>
      </c>
      <c r="AJ7" s="2">
        <v>0</v>
      </c>
      <c r="AK7" s="2">
        <v>0</v>
      </c>
      <c r="AL7" s="2">
        <v>42</v>
      </c>
      <c r="AM7" s="2">
        <v>0</v>
      </c>
      <c r="AN7" s="2">
        <v>0</v>
      </c>
      <c r="AO7" s="2">
        <v>0</v>
      </c>
      <c r="AP7" s="3">
        <v>16.831888198852539</v>
      </c>
      <c r="AQ7" s="2">
        <v>0</v>
      </c>
      <c r="AR7" s="2">
        <v>0</v>
      </c>
      <c r="AS7" s="2">
        <v>0</v>
      </c>
      <c r="AT7" s="1" t="s">
        <v>86</v>
      </c>
      <c r="AU7" s="2">
        <v>0</v>
      </c>
      <c r="AV7" s="1" t="s">
        <v>86</v>
      </c>
      <c r="AW7" s="3">
        <v>1072.699951171875</v>
      </c>
      <c r="AX7" s="3">
        <v>322.70001220703125</v>
      </c>
      <c r="AY7" s="3">
        <v>1072.699951171875</v>
      </c>
      <c r="AZ7" s="3">
        <v>1072.699951171875</v>
      </c>
      <c r="BA7" s="3">
        <v>1072.699951171875</v>
      </c>
      <c r="BB7" s="2">
        <v>60</v>
      </c>
      <c r="BC7" s="3">
        <v>1132.699951171875</v>
      </c>
      <c r="BD7" s="2">
        <v>0</v>
      </c>
      <c r="BE7" s="3">
        <v>203.8859912109375</v>
      </c>
      <c r="BF7" s="3">
        <v>64.36199951171875</v>
      </c>
      <c r="BG7" s="3">
        <v>1336.5859423828124</v>
      </c>
      <c r="BH7" s="3">
        <v>1137.06201171875</v>
      </c>
      <c r="BI7" s="3">
        <v>36.989654541015625</v>
      </c>
      <c r="BJ7" s="1" t="s">
        <v>87</v>
      </c>
      <c r="BK7" s="1" t="s">
        <v>88</v>
      </c>
      <c r="BL7" s="1"/>
      <c r="BM7" s="1"/>
      <c r="BN7" s="1"/>
      <c r="BO7" s="1"/>
      <c r="BP7" s="4">
        <v>45822</v>
      </c>
      <c r="BQ7" s="2">
        <v>0</v>
      </c>
      <c r="BR7" s="2">
        <v>0</v>
      </c>
      <c r="BS7" s="2">
        <v>0</v>
      </c>
      <c r="BT7" s="3">
        <v>1265.7860107421875</v>
      </c>
      <c r="BU7" s="3">
        <v>1072.699951171875</v>
      </c>
      <c r="BV7" s="5">
        <v>45839.96</v>
      </c>
    </row>
    <row r="8" spans="1:74">
      <c r="A8" s="2">
        <v>2025</v>
      </c>
      <c r="B8" s="2">
        <v>6</v>
      </c>
      <c r="C8" s="2">
        <v>4</v>
      </c>
      <c r="D8" s="2">
        <v>803461</v>
      </c>
      <c r="E8" s="6" t="s">
        <v>131</v>
      </c>
      <c r="F8" s="1" t="s">
        <v>75</v>
      </c>
      <c r="G8" s="1" t="s">
        <v>112</v>
      </c>
      <c r="H8" s="1" t="s">
        <v>132</v>
      </c>
      <c r="I8" s="1" t="s">
        <v>78</v>
      </c>
      <c r="J8" s="1" t="s">
        <v>96</v>
      </c>
      <c r="K8" s="1" t="s">
        <v>80</v>
      </c>
      <c r="L8" s="1" t="s">
        <v>81</v>
      </c>
      <c r="M8" s="1" t="s">
        <v>82</v>
      </c>
      <c r="N8" s="1" t="s">
        <v>83</v>
      </c>
      <c r="O8" s="1" t="s">
        <v>133</v>
      </c>
      <c r="P8" s="1" t="s">
        <v>85</v>
      </c>
      <c r="Q8" s="2">
        <v>123</v>
      </c>
      <c r="R8" s="2">
        <v>2</v>
      </c>
      <c r="S8" s="2">
        <v>0</v>
      </c>
      <c r="T8" s="2">
        <v>62</v>
      </c>
      <c r="U8" s="2">
        <v>61</v>
      </c>
      <c r="V8" s="2">
        <v>123</v>
      </c>
      <c r="W8" s="2">
        <v>9</v>
      </c>
      <c r="X8" s="2">
        <v>15</v>
      </c>
      <c r="Y8" s="3">
        <v>364.01998901367187</v>
      </c>
      <c r="Z8" s="2">
        <v>0</v>
      </c>
      <c r="AA8" s="2">
        <v>0</v>
      </c>
      <c r="AB8" s="2">
        <v>0</v>
      </c>
      <c r="AC8" s="2">
        <v>3075</v>
      </c>
      <c r="AD8" s="2">
        <v>30</v>
      </c>
      <c r="AE8" s="2">
        <v>1400</v>
      </c>
      <c r="AF8" s="2">
        <v>0</v>
      </c>
      <c r="AG8" s="3">
        <v>511.70001220703125</v>
      </c>
      <c r="AH8" s="2">
        <v>1090</v>
      </c>
      <c r="AI8" s="2">
        <v>0</v>
      </c>
      <c r="AJ8" s="2">
        <v>0</v>
      </c>
      <c r="AK8" s="2">
        <v>60</v>
      </c>
      <c r="AL8" s="2">
        <v>186</v>
      </c>
      <c r="AM8" s="2">
        <v>0</v>
      </c>
      <c r="AN8" s="2">
        <v>250</v>
      </c>
      <c r="AO8" s="2">
        <v>0</v>
      </c>
      <c r="AP8" s="3">
        <v>56.942501068115234</v>
      </c>
      <c r="AQ8" s="2">
        <v>0</v>
      </c>
      <c r="AR8" s="2">
        <v>0</v>
      </c>
      <c r="AS8" s="2">
        <v>0</v>
      </c>
      <c r="AT8" s="1" t="s">
        <v>86</v>
      </c>
      <c r="AU8" s="2">
        <v>100</v>
      </c>
      <c r="AV8" s="1" t="s">
        <v>134</v>
      </c>
      <c r="AW8" s="3">
        <v>6602.7001953125</v>
      </c>
      <c r="AX8" s="3">
        <v>3527.699951171875</v>
      </c>
      <c r="AY8" s="3">
        <v>6602.7001953125</v>
      </c>
      <c r="AZ8" s="3">
        <v>6602.7001953125</v>
      </c>
      <c r="BA8" s="3">
        <v>6502.7001953125</v>
      </c>
      <c r="BB8" s="2">
        <v>246</v>
      </c>
      <c r="BC8" s="3">
        <v>6748.7001953125</v>
      </c>
      <c r="BD8" s="2">
        <v>0</v>
      </c>
      <c r="BE8" s="3">
        <v>1214.7660351562499</v>
      </c>
      <c r="BF8" s="3">
        <v>390.1619873046875</v>
      </c>
      <c r="BG8" s="3">
        <v>7963.4662304687499</v>
      </c>
      <c r="BH8" s="3">
        <v>6892.86181640625</v>
      </c>
      <c r="BI8" s="3">
        <v>52.867481231689453</v>
      </c>
      <c r="BJ8" s="1" t="s">
        <v>87</v>
      </c>
      <c r="BK8" s="1" t="s">
        <v>88</v>
      </c>
      <c r="BL8" s="1" t="s">
        <v>135</v>
      </c>
      <c r="BM8" s="1" t="s">
        <v>136</v>
      </c>
      <c r="BN8" s="1" t="s">
        <v>137</v>
      </c>
      <c r="BO8" s="1" t="s">
        <v>138</v>
      </c>
      <c r="BP8" s="4">
        <v>45821</v>
      </c>
      <c r="BQ8" s="2">
        <v>0</v>
      </c>
      <c r="BR8" s="2">
        <v>0</v>
      </c>
      <c r="BS8" s="2">
        <v>0</v>
      </c>
      <c r="BT8" s="3">
        <v>7673.18603515625</v>
      </c>
      <c r="BU8" s="3">
        <v>6502.7001953125</v>
      </c>
      <c r="BV8" s="5">
        <v>45839.96</v>
      </c>
    </row>
    <row r="9" spans="1:74">
      <c r="A9" s="2">
        <v>2025</v>
      </c>
      <c r="B9" s="2">
        <v>6</v>
      </c>
      <c r="C9" s="2">
        <v>4</v>
      </c>
      <c r="D9" s="2">
        <v>804004</v>
      </c>
      <c r="E9" s="6" t="s">
        <v>139</v>
      </c>
      <c r="F9" s="1" t="s">
        <v>75</v>
      </c>
      <c r="G9" s="1" t="s">
        <v>112</v>
      </c>
      <c r="H9" s="1"/>
      <c r="I9" s="1" t="s">
        <v>78</v>
      </c>
      <c r="J9" s="1" t="s">
        <v>140</v>
      </c>
      <c r="K9" s="1" t="s">
        <v>80</v>
      </c>
      <c r="L9" s="1" t="s">
        <v>81</v>
      </c>
      <c r="M9" s="1" t="s">
        <v>82</v>
      </c>
      <c r="N9" s="1" t="s">
        <v>83</v>
      </c>
      <c r="O9" s="1" t="s">
        <v>141</v>
      </c>
      <c r="P9" s="1" t="s">
        <v>85</v>
      </c>
      <c r="Q9" s="2">
        <v>99</v>
      </c>
      <c r="R9" s="2">
        <v>3</v>
      </c>
      <c r="S9" s="2">
        <v>0</v>
      </c>
      <c r="T9" s="2">
        <v>64</v>
      </c>
      <c r="U9" s="2">
        <v>35</v>
      </c>
      <c r="V9" s="2">
        <v>99</v>
      </c>
      <c r="W9" s="2">
        <v>9</v>
      </c>
      <c r="X9" s="2">
        <v>15</v>
      </c>
      <c r="Y9" s="3">
        <v>210.11000061035156</v>
      </c>
      <c r="Z9" s="2">
        <v>0</v>
      </c>
      <c r="AA9" s="2">
        <v>75</v>
      </c>
      <c r="AB9" s="2">
        <v>0</v>
      </c>
      <c r="AC9" s="2">
        <v>2550</v>
      </c>
      <c r="AD9" s="2">
        <v>0</v>
      </c>
      <c r="AE9" s="2">
        <v>0</v>
      </c>
      <c r="AF9" s="2">
        <v>0</v>
      </c>
      <c r="AG9" s="3">
        <v>50.200000762939453</v>
      </c>
      <c r="AH9" s="2">
        <v>524</v>
      </c>
      <c r="AI9" s="2">
        <v>0</v>
      </c>
      <c r="AJ9" s="2">
        <v>0</v>
      </c>
      <c r="AK9" s="2">
        <v>0</v>
      </c>
      <c r="AL9" s="2">
        <v>108</v>
      </c>
      <c r="AM9" s="2">
        <v>0</v>
      </c>
      <c r="AN9" s="2">
        <v>0</v>
      </c>
      <c r="AO9" s="2">
        <v>0</v>
      </c>
      <c r="AP9" s="3">
        <v>58.590831756591797</v>
      </c>
      <c r="AQ9" s="2">
        <v>0</v>
      </c>
      <c r="AR9" s="2">
        <v>0</v>
      </c>
      <c r="AS9" s="2">
        <v>0</v>
      </c>
      <c r="AT9" s="1" t="s">
        <v>86</v>
      </c>
      <c r="AU9" s="2">
        <v>0</v>
      </c>
      <c r="AV9" s="1" t="s">
        <v>86</v>
      </c>
      <c r="AW9" s="3">
        <v>3232.199951171875</v>
      </c>
      <c r="AX9" s="3">
        <v>682.20001220703125</v>
      </c>
      <c r="AY9" s="3">
        <v>3232.199951171875</v>
      </c>
      <c r="AZ9" s="3">
        <v>3232.199951171875</v>
      </c>
      <c r="BA9" s="3">
        <v>3232.199951171875</v>
      </c>
      <c r="BB9" s="2">
        <v>204</v>
      </c>
      <c r="BC9" s="3">
        <v>3436.199951171875</v>
      </c>
      <c r="BD9" s="2">
        <v>0</v>
      </c>
      <c r="BE9" s="3">
        <v>618.5159912109375</v>
      </c>
      <c r="BF9" s="3">
        <v>193.9320068359375</v>
      </c>
      <c r="BG9" s="3">
        <v>4054.7159423828125</v>
      </c>
      <c r="BH9" s="3">
        <v>3426.132080078125</v>
      </c>
      <c r="BI9" s="3">
        <v>32.648483276367188</v>
      </c>
      <c r="BJ9" s="1" t="s">
        <v>87</v>
      </c>
      <c r="BK9" s="1" t="s">
        <v>88</v>
      </c>
      <c r="BL9" s="1"/>
      <c r="BM9" s="1"/>
      <c r="BN9" s="1"/>
      <c r="BO9" s="1"/>
      <c r="BP9" s="4">
        <v>45822</v>
      </c>
      <c r="BQ9" s="2">
        <v>0</v>
      </c>
      <c r="BR9" s="2">
        <v>0</v>
      </c>
      <c r="BS9" s="2">
        <v>0</v>
      </c>
      <c r="BT9" s="2">
        <v>3813.99609375</v>
      </c>
      <c r="BU9" s="3">
        <v>3232.199951171875</v>
      </c>
      <c r="BV9" s="5">
        <v>45839.96</v>
      </c>
    </row>
    <row r="10" spans="1:74">
      <c r="A10" s="2">
        <v>2025</v>
      </c>
      <c r="B10" s="2">
        <v>6</v>
      </c>
      <c r="C10" s="2">
        <v>4</v>
      </c>
      <c r="D10" s="2">
        <v>799654</v>
      </c>
      <c r="E10" s="6" t="s">
        <v>142</v>
      </c>
      <c r="F10" s="1" t="s">
        <v>75</v>
      </c>
      <c r="G10" s="1" t="s">
        <v>112</v>
      </c>
      <c r="H10" s="1" t="s">
        <v>143</v>
      </c>
      <c r="I10" s="1" t="s">
        <v>78</v>
      </c>
      <c r="J10" s="1" t="s">
        <v>104</v>
      </c>
      <c r="K10" s="1" t="s">
        <v>80</v>
      </c>
      <c r="L10" s="1" t="s">
        <v>81</v>
      </c>
      <c r="M10" s="1" t="s">
        <v>82</v>
      </c>
      <c r="N10" s="1" t="s">
        <v>83</v>
      </c>
      <c r="O10" s="1" t="s">
        <v>144</v>
      </c>
      <c r="P10" s="1" t="s">
        <v>85</v>
      </c>
      <c r="Q10" s="2">
        <v>154</v>
      </c>
      <c r="R10" s="2">
        <v>1</v>
      </c>
      <c r="S10" s="2">
        <v>0</v>
      </c>
      <c r="T10" s="2">
        <v>83</v>
      </c>
      <c r="U10" s="2">
        <v>71</v>
      </c>
      <c r="V10" s="2">
        <v>154</v>
      </c>
      <c r="W10" s="2">
        <v>7</v>
      </c>
      <c r="X10" s="2">
        <v>22</v>
      </c>
      <c r="Y10" s="3">
        <v>336.30999755859375</v>
      </c>
      <c r="Z10" s="2">
        <v>0</v>
      </c>
      <c r="AA10" s="2">
        <v>25</v>
      </c>
      <c r="AB10" s="2">
        <v>0</v>
      </c>
      <c r="AC10" s="2">
        <v>3875</v>
      </c>
      <c r="AD10" s="2">
        <v>70</v>
      </c>
      <c r="AE10" s="2">
        <v>0</v>
      </c>
      <c r="AF10" s="2">
        <v>0</v>
      </c>
      <c r="AG10" s="3">
        <v>69.449996948242188</v>
      </c>
      <c r="AH10" s="2">
        <v>2016</v>
      </c>
      <c r="AI10" s="2">
        <v>0</v>
      </c>
      <c r="AJ10" s="2">
        <v>0</v>
      </c>
      <c r="AK10" s="2">
        <v>0</v>
      </c>
      <c r="AL10" s="2">
        <v>216</v>
      </c>
      <c r="AM10" s="2">
        <v>0</v>
      </c>
      <c r="AN10" s="2">
        <v>500</v>
      </c>
      <c r="AO10" s="2">
        <v>0</v>
      </c>
      <c r="AP10" s="3">
        <v>56.289276123046875</v>
      </c>
      <c r="AQ10" s="2">
        <v>300</v>
      </c>
      <c r="AR10" s="2">
        <v>1</v>
      </c>
      <c r="AS10" s="2">
        <v>0</v>
      </c>
      <c r="AT10" s="1" t="s">
        <v>86</v>
      </c>
      <c r="AU10" s="2">
        <v>0</v>
      </c>
      <c r="AV10" s="1" t="s">
        <v>86</v>
      </c>
      <c r="AW10" s="3">
        <v>6746.4501953125</v>
      </c>
      <c r="AX10" s="3">
        <v>2871.449951171875</v>
      </c>
      <c r="AY10" s="3">
        <v>7046.4501953125</v>
      </c>
      <c r="AZ10" s="3">
        <v>7046.4501953125</v>
      </c>
      <c r="BA10" s="3">
        <v>7046.4501953125</v>
      </c>
      <c r="BB10" s="2">
        <v>310</v>
      </c>
      <c r="BC10" s="3">
        <v>7356.4501953125</v>
      </c>
      <c r="BD10" s="2">
        <v>0</v>
      </c>
      <c r="BE10" s="3">
        <v>1324.1610351562499</v>
      </c>
      <c r="BF10" s="3">
        <v>443.92636108398437</v>
      </c>
      <c r="BG10" s="3">
        <v>8680.6112304687504</v>
      </c>
      <c r="BH10" s="3">
        <v>7842.69873046875</v>
      </c>
      <c r="BI10" s="3">
        <v>48.043975830078125</v>
      </c>
      <c r="BJ10" s="1" t="s">
        <v>87</v>
      </c>
      <c r="BK10" s="1" t="s">
        <v>88</v>
      </c>
      <c r="BL10" s="1" t="s">
        <v>145</v>
      </c>
      <c r="BM10" s="1" t="s">
        <v>146</v>
      </c>
      <c r="BN10" s="1" t="s">
        <v>147</v>
      </c>
      <c r="BO10" s="1" t="s">
        <v>127</v>
      </c>
      <c r="BP10" s="4">
        <v>45814</v>
      </c>
      <c r="BQ10" s="2">
        <v>0</v>
      </c>
      <c r="BR10" s="2">
        <v>0</v>
      </c>
      <c r="BS10" s="2">
        <v>0</v>
      </c>
      <c r="BT10" s="3">
        <v>8730.5517578125</v>
      </c>
      <c r="BU10" s="3">
        <v>7398.7724609375</v>
      </c>
      <c r="BV10" s="5">
        <v>45839.96</v>
      </c>
    </row>
    <row r="11" spans="1:74">
      <c r="A11" s="2">
        <v>2025</v>
      </c>
      <c r="B11" s="2">
        <v>6</v>
      </c>
      <c r="C11" s="2">
        <v>4</v>
      </c>
      <c r="D11" s="2">
        <v>808550</v>
      </c>
      <c r="E11" s="6" t="s">
        <v>148</v>
      </c>
      <c r="F11" s="1" t="s">
        <v>75</v>
      </c>
      <c r="G11" s="1" t="s">
        <v>112</v>
      </c>
      <c r="H11" s="1" t="s">
        <v>149</v>
      </c>
      <c r="I11" s="1" t="s">
        <v>78</v>
      </c>
      <c r="J11" s="1" t="s">
        <v>140</v>
      </c>
      <c r="K11" s="1" t="s">
        <v>80</v>
      </c>
      <c r="L11" s="1" t="s">
        <v>81</v>
      </c>
      <c r="M11" s="1" t="s">
        <v>82</v>
      </c>
      <c r="N11" s="1" t="s">
        <v>83</v>
      </c>
      <c r="O11" s="1" t="s">
        <v>141</v>
      </c>
      <c r="P11" s="1" t="s">
        <v>85</v>
      </c>
      <c r="Q11" s="2">
        <v>97</v>
      </c>
      <c r="R11" s="2">
        <v>3</v>
      </c>
      <c r="S11" s="2">
        <v>0</v>
      </c>
      <c r="T11" s="2">
        <v>53</v>
      </c>
      <c r="U11" s="2">
        <v>44</v>
      </c>
      <c r="V11" s="2">
        <v>97</v>
      </c>
      <c r="W11" s="2">
        <v>6</v>
      </c>
      <c r="X11" s="2">
        <v>6</v>
      </c>
      <c r="Y11" s="3">
        <v>205.83999633789062</v>
      </c>
      <c r="Z11" s="2">
        <v>0</v>
      </c>
      <c r="AA11" s="2">
        <v>75</v>
      </c>
      <c r="AB11" s="2">
        <v>0</v>
      </c>
      <c r="AC11" s="2">
        <v>2500</v>
      </c>
      <c r="AD11" s="2">
        <v>0</v>
      </c>
      <c r="AE11" s="2">
        <v>0</v>
      </c>
      <c r="AF11" s="2">
        <v>0</v>
      </c>
      <c r="AG11" s="3">
        <v>59.900001525878906</v>
      </c>
      <c r="AH11" s="2">
        <v>1116</v>
      </c>
      <c r="AI11" s="2">
        <v>0</v>
      </c>
      <c r="AJ11" s="2">
        <v>0</v>
      </c>
      <c r="AK11" s="2">
        <v>0</v>
      </c>
      <c r="AL11" s="2">
        <v>135</v>
      </c>
      <c r="AM11" s="2">
        <v>0</v>
      </c>
      <c r="AN11" s="2">
        <v>0</v>
      </c>
      <c r="AO11" s="2">
        <v>0</v>
      </c>
      <c r="AP11" s="3">
        <v>46.545444488525391</v>
      </c>
      <c r="AQ11" s="2">
        <v>0</v>
      </c>
      <c r="AR11" s="2">
        <v>0</v>
      </c>
      <c r="AS11" s="2">
        <v>0</v>
      </c>
      <c r="AT11" s="1" t="s">
        <v>86</v>
      </c>
      <c r="AU11" s="2">
        <v>43</v>
      </c>
      <c r="AV11" s="1" t="s">
        <v>116</v>
      </c>
      <c r="AW11" s="3">
        <v>3810.89990234375</v>
      </c>
      <c r="AX11" s="3">
        <v>1310.9000244140625</v>
      </c>
      <c r="AY11" s="3">
        <v>3810.89990234375</v>
      </c>
      <c r="AZ11" s="3">
        <v>3810.89990234375</v>
      </c>
      <c r="BA11" s="3">
        <v>3767.89990234375</v>
      </c>
      <c r="BB11" s="2">
        <v>200</v>
      </c>
      <c r="BC11" s="3">
        <v>3967.89990234375</v>
      </c>
      <c r="BD11" s="2">
        <v>0</v>
      </c>
      <c r="BE11" s="3">
        <v>714.22198242187494</v>
      </c>
      <c r="BF11" s="3">
        <v>226.07400512695312</v>
      </c>
      <c r="BG11" s="3">
        <v>4682.1218847656246</v>
      </c>
      <c r="BH11" s="3">
        <v>3993.97412109375</v>
      </c>
      <c r="BI11" s="3">
        <v>38.844329833984375</v>
      </c>
      <c r="BJ11" s="1" t="s">
        <v>87</v>
      </c>
      <c r="BK11" s="1" t="s">
        <v>88</v>
      </c>
      <c r="BL11" s="1" t="s">
        <v>150</v>
      </c>
      <c r="BM11" s="1" t="s">
        <v>151</v>
      </c>
      <c r="BN11" s="1" t="s">
        <v>152</v>
      </c>
      <c r="BO11" s="1" t="s">
        <v>138</v>
      </c>
      <c r="BP11" s="4">
        <v>45831</v>
      </c>
      <c r="BQ11" s="2">
        <v>0</v>
      </c>
      <c r="BR11" s="2">
        <v>0</v>
      </c>
      <c r="BS11" s="2">
        <v>0</v>
      </c>
      <c r="BT11" s="3">
        <v>4446.1220703125</v>
      </c>
      <c r="BU11" s="3">
        <v>3767.89990234375</v>
      </c>
      <c r="BV11" s="5">
        <v>45839.96</v>
      </c>
    </row>
    <row r="12" spans="1:74">
      <c r="A12" s="2">
        <v>2025</v>
      </c>
      <c r="B12" s="2">
        <v>6</v>
      </c>
      <c r="C12" s="2">
        <v>4</v>
      </c>
      <c r="D12" s="2">
        <v>807590</v>
      </c>
      <c r="E12" s="6" t="s">
        <v>153</v>
      </c>
      <c r="F12" s="1" t="s">
        <v>75</v>
      </c>
      <c r="G12" s="1" t="s">
        <v>76</v>
      </c>
      <c r="H12" s="1" t="s">
        <v>154</v>
      </c>
      <c r="I12" s="1" t="s">
        <v>78</v>
      </c>
      <c r="J12" s="1" t="s">
        <v>155</v>
      </c>
      <c r="K12" s="1" t="s">
        <v>80</v>
      </c>
      <c r="L12" s="1" t="s">
        <v>81</v>
      </c>
      <c r="M12" s="1" t="s">
        <v>82</v>
      </c>
      <c r="N12" s="1" t="s">
        <v>83</v>
      </c>
      <c r="O12" s="1" t="s">
        <v>156</v>
      </c>
      <c r="P12" s="1" t="s">
        <v>85</v>
      </c>
      <c r="Q12" s="2">
        <v>72</v>
      </c>
      <c r="R12" s="2">
        <v>5</v>
      </c>
      <c r="S12" s="2">
        <v>0</v>
      </c>
      <c r="T12" s="2">
        <v>72</v>
      </c>
      <c r="U12" s="2">
        <v>0</v>
      </c>
      <c r="V12" s="2">
        <v>72</v>
      </c>
      <c r="W12" s="2">
        <v>4</v>
      </c>
      <c r="X12" s="2">
        <v>4</v>
      </c>
      <c r="Y12" s="3">
        <v>205.13999938964844</v>
      </c>
      <c r="Z12" s="2">
        <v>0</v>
      </c>
      <c r="AA12" s="2">
        <v>0</v>
      </c>
      <c r="AB12" s="2">
        <v>0</v>
      </c>
      <c r="AC12" s="2">
        <v>1800</v>
      </c>
      <c r="AD12" s="2">
        <v>25</v>
      </c>
      <c r="AE12" s="2">
        <v>0</v>
      </c>
      <c r="AF12" s="2">
        <v>0</v>
      </c>
      <c r="AG12" s="3">
        <v>60.099998474121094</v>
      </c>
      <c r="AH12" s="2">
        <v>759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3">
        <v>34.984889984130859</v>
      </c>
      <c r="AQ12" s="2">
        <v>0</v>
      </c>
      <c r="AR12" s="2">
        <v>0</v>
      </c>
      <c r="AS12" s="2">
        <v>0</v>
      </c>
      <c r="AT12" s="1" t="s">
        <v>86</v>
      </c>
      <c r="AU12" s="2">
        <v>0</v>
      </c>
      <c r="AV12" s="1" t="s">
        <v>86</v>
      </c>
      <c r="AW12" s="3">
        <v>2644.10009765625</v>
      </c>
      <c r="AX12" s="3">
        <v>844.0999755859375</v>
      </c>
      <c r="AY12" s="3">
        <v>2644.10009765625</v>
      </c>
      <c r="AZ12" s="3">
        <v>2644.10009765625</v>
      </c>
      <c r="BA12" s="3">
        <v>2644.10009765625</v>
      </c>
      <c r="BB12" s="2">
        <v>144</v>
      </c>
      <c r="BC12" s="3">
        <v>2788.10009765625</v>
      </c>
      <c r="BD12" s="2">
        <v>0</v>
      </c>
      <c r="BE12" s="3">
        <v>501.85801757812499</v>
      </c>
      <c r="BF12" s="3">
        <v>166.57829284667969</v>
      </c>
      <c r="BG12" s="3">
        <v>3289.9581152343749</v>
      </c>
      <c r="BH12" s="3">
        <v>2942.88330078125</v>
      </c>
      <c r="BI12" s="3">
        <v>38.559791564941406</v>
      </c>
      <c r="BJ12" s="1" t="s">
        <v>87</v>
      </c>
      <c r="BK12" s="1" t="s">
        <v>88</v>
      </c>
      <c r="BL12" s="1" t="s">
        <v>157</v>
      </c>
      <c r="BM12" s="1" t="s">
        <v>158</v>
      </c>
      <c r="BN12" s="1" t="s">
        <v>159</v>
      </c>
      <c r="BO12" s="1" t="s">
        <v>160</v>
      </c>
      <c r="BP12" s="4">
        <v>45829</v>
      </c>
      <c r="BQ12" s="2">
        <v>0</v>
      </c>
      <c r="BR12" s="2">
        <v>0</v>
      </c>
      <c r="BS12" s="2">
        <v>0</v>
      </c>
      <c r="BT12" s="3">
        <v>3276.039794921875</v>
      </c>
      <c r="BU12" s="3">
        <v>2776.304931640625</v>
      </c>
      <c r="BV12" s="5">
        <v>45839.96</v>
      </c>
    </row>
    <row r="13" spans="1:74">
      <c r="A13" s="2">
        <v>2025</v>
      </c>
      <c r="B13" s="2">
        <v>6</v>
      </c>
      <c r="C13" s="2">
        <v>4</v>
      </c>
      <c r="D13" s="2">
        <v>807590</v>
      </c>
      <c r="E13" s="6" t="s">
        <v>153</v>
      </c>
      <c r="F13" s="1" t="s">
        <v>75</v>
      </c>
      <c r="G13" s="1" t="s">
        <v>76</v>
      </c>
      <c r="H13" s="1" t="s">
        <v>154</v>
      </c>
      <c r="I13" s="1" t="s">
        <v>78</v>
      </c>
      <c r="J13" s="1" t="s">
        <v>161</v>
      </c>
      <c r="K13" s="1" t="s">
        <v>80</v>
      </c>
      <c r="L13" s="1" t="s">
        <v>81</v>
      </c>
      <c r="M13" s="1" t="s">
        <v>82</v>
      </c>
      <c r="N13" s="1" t="s">
        <v>83</v>
      </c>
      <c r="O13" s="1" t="s">
        <v>162</v>
      </c>
      <c r="P13" s="1" t="s">
        <v>85</v>
      </c>
      <c r="Q13" s="2">
        <v>1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1</v>
      </c>
      <c r="X13" s="2">
        <v>1</v>
      </c>
      <c r="Y13" s="3">
        <v>1.6499999761581421</v>
      </c>
      <c r="Z13" s="2">
        <v>0</v>
      </c>
      <c r="AA13" s="2">
        <v>0</v>
      </c>
      <c r="AB13" s="2">
        <v>0</v>
      </c>
      <c r="AC13" s="2">
        <v>25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3">
        <v>0.46722221374511719</v>
      </c>
      <c r="AQ13" s="2">
        <v>0</v>
      </c>
      <c r="AR13" s="2">
        <v>0</v>
      </c>
      <c r="AS13" s="2">
        <v>0</v>
      </c>
      <c r="AT13" s="1" t="s">
        <v>86</v>
      </c>
      <c r="AU13" s="2">
        <v>0</v>
      </c>
      <c r="AV13" s="1" t="s">
        <v>86</v>
      </c>
      <c r="AW13" s="2">
        <v>25</v>
      </c>
      <c r="AX13" s="2">
        <v>0</v>
      </c>
      <c r="AY13" s="2">
        <v>25</v>
      </c>
      <c r="AZ13" s="2">
        <v>25</v>
      </c>
      <c r="BA13" s="2">
        <v>25</v>
      </c>
      <c r="BB13" s="2">
        <v>2</v>
      </c>
      <c r="BC13" s="3">
        <v>27</v>
      </c>
      <c r="BD13" s="2">
        <v>0</v>
      </c>
      <c r="BE13" s="3">
        <v>4.8599999999999994</v>
      </c>
      <c r="BF13" s="3">
        <v>1.5</v>
      </c>
      <c r="BG13" s="3">
        <v>31.86</v>
      </c>
      <c r="BH13" s="3">
        <v>26.5</v>
      </c>
      <c r="BI13" s="2">
        <v>25</v>
      </c>
      <c r="BJ13" s="1" t="s">
        <v>87</v>
      </c>
      <c r="BK13" s="1" t="s">
        <v>88</v>
      </c>
      <c r="BL13" s="1" t="s">
        <v>157</v>
      </c>
      <c r="BM13" s="1" t="s">
        <v>158</v>
      </c>
      <c r="BN13" s="1" t="s">
        <v>159</v>
      </c>
      <c r="BO13" s="1" t="s">
        <v>160</v>
      </c>
      <c r="BP13" s="4">
        <v>45829</v>
      </c>
      <c r="BQ13" s="2">
        <v>0</v>
      </c>
      <c r="BR13" s="2">
        <v>0</v>
      </c>
      <c r="BS13" s="2">
        <v>0</v>
      </c>
      <c r="BT13" s="3">
        <v>29.5</v>
      </c>
      <c r="BU13" s="2">
        <v>25</v>
      </c>
      <c r="BV13" s="5">
        <v>45839.96</v>
      </c>
    </row>
    <row r="14" spans="1:74">
      <c r="A14" s="2">
        <v>2025</v>
      </c>
      <c r="B14" s="2">
        <v>6</v>
      </c>
      <c r="C14" s="2">
        <v>4</v>
      </c>
      <c r="D14" s="2">
        <v>786490</v>
      </c>
      <c r="E14" s="6" t="s">
        <v>163</v>
      </c>
      <c r="F14" s="1" t="s">
        <v>75</v>
      </c>
      <c r="G14" s="1" t="s">
        <v>94</v>
      </c>
      <c r="H14" s="1" t="s">
        <v>164</v>
      </c>
      <c r="I14" s="1" t="s">
        <v>78</v>
      </c>
      <c r="J14" s="1" t="s">
        <v>140</v>
      </c>
      <c r="K14" s="1" t="s">
        <v>80</v>
      </c>
      <c r="L14" s="1" t="s">
        <v>81</v>
      </c>
      <c r="M14" s="1" t="s">
        <v>82</v>
      </c>
      <c r="N14" s="1" t="s">
        <v>83</v>
      </c>
      <c r="O14" s="1" t="s">
        <v>165</v>
      </c>
      <c r="P14" s="1" t="s">
        <v>85</v>
      </c>
      <c r="Q14" s="2">
        <v>162</v>
      </c>
      <c r="R14" s="2">
        <v>0</v>
      </c>
      <c r="S14" s="2">
        <v>0</v>
      </c>
      <c r="T14" s="2">
        <v>96</v>
      </c>
      <c r="U14" s="2">
        <v>66</v>
      </c>
      <c r="V14" s="2">
        <v>162</v>
      </c>
      <c r="W14" s="2">
        <v>9</v>
      </c>
      <c r="X14" s="2">
        <v>30</v>
      </c>
      <c r="Y14" s="3">
        <v>334.45999145507812</v>
      </c>
      <c r="Z14" s="2">
        <v>0</v>
      </c>
      <c r="AA14" s="2">
        <v>0</v>
      </c>
      <c r="AB14" s="2">
        <v>0</v>
      </c>
      <c r="AC14" s="2">
        <v>4860</v>
      </c>
      <c r="AD14" s="2">
        <v>0</v>
      </c>
      <c r="AE14" s="2">
        <v>0</v>
      </c>
      <c r="AF14" s="2">
        <v>0</v>
      </c>
      <c r="AG14" s="3">
        <v>97.550003051757813</v>
      </c>
      <c r="AH14" s="2">
        <v>1898</v>
      </c>
      <c r="AI14" s="2">
        <v>0</v>
      </c>
      <c r="AJ14" s="2">
        <v>0</v>
      </c>
      <c r="AK14" s="2">
        <v>30</v>
      </c>
      <c r="AL14" s="2">
        <v>198</v>
      </c>
      <c r="AM14" s="2">
        <v>0</v>
      </c>
      <c r="AN14" s="2">
        <v>500</v>
      </c>
      <c r="AO14" s="2">
        <v>0</v>
      </c>
      <c r="AP14" s="3">
        <v>71.377334594726563</v>
      </c>
      <c r="AQ14" s="2">
        <v>0</v>
      </c>
      <c r="AR14" s="2">
        <v>0</v>
      </c>
      <c r="AS14" s="2">
        <v>0</v>
      </c>
      <c r="AT14" s="1" t="s">
        <v>86</v>
      </c>
      <c r="AU14" s="2">
        <v>0</v>
      </c>
      <c r="AV14" s="1" t="s">
        <v>86</v>
      </c>
      <c r="AW14" s="3">
        <v>7583.5498046875</v>
      </c>
      <c r="AX14" s="3">
        <v>2723.550048828125</v>
      </c>
      <c r="AY14" s="3">
        <v>7583.5498046875</v>
      </c>
      <c r="AZ14" s="3">
        <v>7583.5498046875</v>
      </c>
      <c r="BA14" s="3">
        <v>7583.5498046875</v>
      </c>
      <c r="BB14" s="2">
        <v>388.8</v>
      </c>
      <c r="BC14" s="3">
        <v>7972.3498046875002</v>
      </c>
      <c r="BD14" s="2">
        <v>0</v>
      </c>
      <c r="BE14" s="3">
        <v>1435.0229648437501</v>
      </c>
      <c r="BF14" s="3">
        <v>455.01300048828125</v>
      </c>
      <c r="BG14" s="3">
        <v>9407.37276953125</v>
      </c>
      <c r="BH14" s="3">
        <v>8038.56298828125</v>
      </c>
      <c r="BI14" s="3">
        <v>46.812038421630859</v>
      </c>
      <c r="BJ14" s="1" t="s">
        <v>87</v>
      </c>
      <c r="BK14" s="1" t="s">
        <v>88</v>
      </c>
      <c r="BL14" s="1" t="s">
        <v>166</v>
      </c>
      <c r="BM14" s="1" t="s">
        <v>167</v>
      </c>
      <c r="BN14" s="1" t="s">
        <v>152</v>
      </c>
      <c r="BO14" s="1" t="s">
        <v>138</v>
      </c>
      <c r="BP14" s="4">
        <v>45786</v>
      </c>
      <c r="BQ14" s="2">
        <v>0</v>
      </c>
      <c r="BR14" s="2">
        <v>0</v>
      </c>
      <c r="BS14" s="2">
        <v>0</v>
      </c>
      <c r="BT14" s="3">
        <v>8948.5888671875</v>
      </c>
      <c r="BU14" s="3">
        <v>7583.5498046875</v>
      </c>
      <c r="BV14" s="5">
        <v>45839.96</v>
      </c>
    </row>
    <row r="15" spans="1:74">
      <c r="A15" s="2">
        <v>2025</v>
      </c>
      <c r="B15" s="2">
        <v>6</v>
      </c>
      <c r="C15" s="2">
        <v>4</v>
      </c>
      <c r="D15" s="2">
        <v>808554</v>
      </c>
      <c r="E15" s="6" t="s">
        <v>168</v>
      </c>
      <c r="F15" s="1" t="s">
        <v>75</v>
      </c>
      <c r="G15" s="1" t="s">
        <v>76</v>
      </c>
      <c r="H15" s="1" t="s">
        <v>169</v>
      </c>
      <c r="I15" s="1" t="s">
        <v>78</v>
      </c>
      <c r="J15" s="1" t="s">
        <v>161</v>
      </c>
      <c r="K15" s="1" t="s">
        <v>80</v>
      </c>
      <c r="L15" s="1" t="s">
        <v>81</v>
      </c>
      <c r="M15" s="1" t="s">
        <v>82</v>
      </c>
      <c r="N15" s="1" t="s">
        <v>83</v>
      </c>
      <c r="O15" s="1" t="s">
        <v>162</v>
      </c>
      <c r="P15" s="1" t="s">
        <v>85</v>
      </c>
      <c r="Q15" s="2">
        <v>26</v>
      </c>
      <c r="R15" s="2">
        <v>0</v>
      </c>
      <c r="S15" s="2">
        <v>0</v>
      </c>
      <c r="T15" s="2">
        <v>7</v>
      </c>
      <c r="U15" s="2">
        <v>19</v>
      </c>
      <c r="V15" s="2">
        <v>26</v>
      </c>
      <c r="W15" s="2">
        <v>4</v>
      </c>
      <c r="X15" s="2">
        <v>4</v>
      </c>
      <c r="Y15" s="3">
        <v>58.220001220703125</v>
      </c>
      <c r="Z15" s="2">
        <v>0</v>
      </c>
      <c r="AA15" s="2">
        <v>0</v>
      </c>
      <c r="AB15" s="2">
        <v>0</v>
      </c>
      <c r="AC15" s="2">
        <v>650</v>
      </c>
      <c r="AD15" s="2">
        <v>0</v>
      </c>
      <c r="AE15" s="2">
        <v>40</v>
      </c>
      <c r="AF15" s="2">
        <v>0</v>
      </c>
      <c r="AG15" s="3">
        <v>4.0999999046325684</v>
      </c>
      <c r="AH15" s="2">
        <v>70</v>
      </c>
      <c r="AI15" s="2">
        <v>0</v>
      </c>
      <c r="AJ15" s="2">
        <v>0</v>
      </c>
      <c r="AK15" s="2">
        <v>0</v>
      </c>
      <c r="AL15" s="2">
        <v>57</v>
      </c>
      <c r="AM15" s="2">
        <v>0</v>
      </c>
      <c r="AN15" s="2">
        <v>0</v>
      </c>
      <c r="AO15" s="2">
        <v>0</v>
      </c>
      <c r="AP15" s="3">
        <v>16.249944686889648</v>
      </c>
      <c r="AQ15" s="2">
        <v>0</v>
      </c>
      <c r="AR15" s="2">
        <v>0</v>
      </c>
      <c r="AS15" s="2">
        <v>0</v>
      </c>
      <c r="AT15" s="1" t="s">
        <v>86</v>
      </c>
      <c r="AU15" s="2">
        <v>0</v>
      </c>
      <c r="AV15" s="1" t="s">
        <v>86</v>
      </c>
      <c r="AW15" s="3">
        <v>821.0999755859375</v>
      </c>
      <c r="AX15" s="3">
        <v>171.10000610351562</v>
      </c>
      <c r="AY15" s="3">
        <v>821.0999755859375</v>
      </c>
      <c r="AZ15" s="3">
        <v>821.0999755859375</v>
      </c>
      <c r="BA15" s="3">
        <v>821.0999755859375</v>
      </c>
      <c r="BB15" s="2">
        <v>52</v>
      </c>
      <c r="BC15" s="3">
        <v>873.0999755859375</v>
      </c>
      <c r="BD15" s="2">
        <v>0</v>
      </c>
      <c r="BE15" s="3">
        <v>157.15799560546876</v>
      </c>
      <c r="BF15" s="3">
        <v>49.265998840332031</v>
      </c>
      <c r="BG15" s="3">
        <v>1030.2579711914063</v>
      </c>
      <c r="BH15" s="3">
        <v>870.36602783203125</v>
      </c>
      <c r="BI15" s="3">
        <v>31.580768585205078</v>
      </c>
      <c r="BJ15" s="1" t="s">
        <v>87</v>
      </c>
      <c r="BK15" s="1" t="s">
        <v>88</v>
      </c>
      <c r="BL15" s="1" t="s">
        <v>170</v>
      </c>
      <c r="BM15" s="1" t="s">
        <v>171</v>
      </c>
      <c r="BN15" s="1" t="s">
        <v>172</v>
      </c>
      <c r="BO15" s="1" t="s">
        <v>138</v>
      </c>
      <c r="BP15" s="4">
        <v>45831</v>
      </c>
      <c r="BQ15" s="2">
        <v>0</v>
      </c>
      <c r="BR15" s="2">
        <v>0</v>
      </c>
      <c r="BS15" s="2">
        <v>0</v>
      </c>
      <c r="BT15" s="3">
        <v>968.89801025390625</v>
      </c>
      <c r="BU15" s="3">
        <v>821.0999755859375</v>
      </c>
      <c r="BV15" s="5">
        <v>45839.96</v>
      </c>
    </row>
    <row r="16" spans="1:74">
      <c r="A16" s="2">
        <v>2025</v>
      </c>
      <c r="B16" s="2">
        <v>6</v>
      </c>
      <c r="C16" s="2">
        <v>4</v>
      </c>
      <c r="D16" s="2">
        <v>756144</v>
      </c>
      <c r="E16" s="6" t="s">
        <v>173</v>
      </c>
      <c r="F16" s="1" t="s">
        <v>75</v>
      </c>
      <c r="G16" s="1" t="s">
        <v>94</v>
      </c>
      <c r="H16" s="1"/>
      <c r="I16" s="1" t="s">
        <v>78</v>
      </c>
      <c r="J16" s="1" t="s">
        <v>140</v>
      </c>
      <c r="K16" s="1" t="s">
        <v>80</v>
      </c>
      <c r="L16" s="1" t="s">
        <v>81</v>
      </c>
      <c r="M16" s="1" t="s">
        <v>82</v>
      </c>
      <c r="N16" s="1" t="s">
        <v>83</v>
      </c>
      <c r="O16" s="1" t="s">
        <v>165</v>
      </c>
      <c r="P16" s="1" t="s">
        <v>85</v>
      </c>
      <c r="Q16" s="2">
        <v>129</v>
      </c>
      <c r="R16" s="2">
        <v>2</v>
      </c>
      <c r="S16" s="2">
        <v>0</v>
      </c>
      <c r="T16" s="2">
        <v>89</v>
      </c>
      <c r="U16" s="2">
        <v>40</v>
      </c>
      <c r="V16" s="2">
        <v>129</v>
      </c>
      <c r="W16" s="2">
        <v>8</v>
      </c>
      <c r="X16" s="2">
        <v>27</v>
      </c>
      <c r="Y16" s="3">
        <v>258.91000366210937</v>
      </c>
      <c r="Z16" s="2">
        <v>0</v>
      </c>
      <c r="AA16" s="2">
        <v>60</v>
      </c>
      <c r="AB16" s="2">
        <v>0</v>
      </c>
      <c r="AC16" s="2">
        <v>3930</v>
      </c>
      <c r="AD16" s="2">
        <v>40</v>
      </c>
      <c r="AE16" s="2">
        <v>0</v>
      </c>
      <c r="AF16" s="2">
        <v>0</v>
      </c>
      <c r="AG16" s="3">
        <v>61.900001525878906</v>
      </c>
      <c r="AH16" s="2">
        <v>1415</v>
      </c>
      <c r="AI16" s="2">
        <v>0</v>
      </c>
      <c r="AJ16" s="2">
        <v>0</v>
      </c>
      <c r="AK16" s="2">
        <v>30</v>
      </c>
      <c r="AL16" s="2">
        <v>126</v>
      </c>
      <c r="AM16" s="2">
        <v>0</v>
      </c>
      <c r="AN16" s="2">
        <v>250</v>
      </c>
      <c r="AO16" s="2">
        <v>0</v>
      </c>
      <c r="AP16" s="3">
        <v>57.050334930419922</v>
      </c>
      <c r="AQ16" s="2">
        <v>0</v>
      </c>
      <c r="AR16" s="2">
        <v>0</v>
      </c>
      <c r="AS16" s="2">
        <v>0</v>
      </c>
      <c r="AT16" s="1" t="s">
        <v>86</v>
      </c>
      <c r="AU16" s="2">
        <v>0</v>
      </c>
      <c r="AV16" s="1" t="s">
        <v>86</v>
      </c>
      <c r="AW16" s="3">
        <v>5852.89990234375</v>
      </c>
      <c r="AX16" s="3">
        <v>1922.9000244140625</v>
      </c>
      <c r="AY16" s="3">
        <v>5852.89990234375</v>
      </c>
      <c r="AZ16" s="3">
        <v>5852.89990234375</v>
      </c>
      <c r="BA16" s="3">
        <v>5852.89990234375</v>
      </c>
      <c r="BB16" s="2">
        <v>314.40000000000003</v>
      </c>
      <c r="BC16" s="3">
        <v>6167.2999023437496</v>
      </c>
      <c r="BD16" s="2">
        <v>0</v>
      </c>
      <c r="BE16" s="3">
        <v>1110.1139824218749</v>
      </c>
      <c r="BF16" s="3">
        <v>351.17401123046875</v>
      </c>
      <c r="BG16" s="3">
        <v>7277.413884765625</v>
      </c>
      <c r="BH16" s="3">
        <v>6204.07421875</v>
      </c>
      <c r="BI16" s="3">
        <v>45.371318817138672</v>
      </c>
      <c r="BJ16" s="1" t="s">
        <v>87</v>
      </c>
      <c r="BK16" s="1" t="s">
        <v>88</v>
      </c>
      <c r="BL16" s="1"/>
      <c r="BM16" s="1"/>
      <c r="BN16" s="1"/>
      <c r="BO16" s="1"/>
      <c r="BP16" s="1"/>
      <c r="BQ16" s="2">
        <v>0</v>
      </c>
      <c r="BR16" s="2">
        <v>0</v>
      </c>
      <c r="BS16" s="2">
        <v>0</v>
      </c>
      <c r="BT16" s="3">
        <v>6906.421875</v>
      </c>
      <c r="BU16" s="3">
        <v>5852.89990234375</v>
      </c>
      <c r="BV16" s="5">
        <v>45839.959988425922</v>
      </c>
    </row>
    <row r="17" spans="1:74">
      <c r="A17" s="2">
        <v>2025</v>
      </c>
      <c r="B17" s="2">
        <v>6</v>
      </c>
      <c r="C17" s="2">
        <v>4</v>
      </c>
      <c r="D17" s="2">
        <v>753406</v>
      </c>
      <c r="E17" s="6" t="s">
        <v>174</v>
      </c>
      <c r="F17" s="1" t="s">
        <v>75</v>
      </c>
      <c r="G17" s="1" t="s">
        <v>76</v>
      </c>
      <c r="H17" s="1"/>
      <c r="I17" s="1" t="s">
        <v>78</v>
      </c>
      <c r="J17" s="1" t="s">
        <v>104</v>
      </c>
      <c r="K17" s="1" t="s">
        <v>80</v>
      </c>
      <c r="L17" s="1" t="s">
        <v>81</v>
      </c>
      <c r="M17" s="1" t="s">
        <v>82</v>
      </c>
      <c r="N17" s="1" t="s">
        <v>83</v>
      </c>
      <c r="O17" s="1" t="s">
        <v>144</v>
      </c>
      <c r="P17" s="1" t="s">
        <v>85</v>
      </c>
      <c r="Q17" s="2">
        <v>55</v>
      </c>
      <c r="R17" s="2">
        <v>1</v>
      </c>
      <c r="S17" s="2">
        <v>0</v>
      </c>
      <c r="T17" s="2">
        <v>35</v>
      </c>
      <c r="U17" s="2">
        <v>20</v>
      </c>
      <c r="V17" s="2">
        <v>55</v>
      </c>
      <c r="W17" s="2">
        <v>5</v>
      </c>
      <c r="X17" s="2">
        <v>22</v>
      </c>
      <c r="Y17" s="3">
        <v>131.49000549316406</v>
      </c>
      <c r="Z17" s="2">
        <v>0</v>
      </c>
      <c r="AA17" s="2">
        <v>25</v>
      </c>
      <c r="AB17" s="2">
        <v>0</v>
      </c>
      <c r="AC17" s="2">
        <v>1400</v>
      </c>
      <c r="AD17" s="2">
        <v>50</v>
      </c>
      <c r="AE17" s="2">
        <v>0</v>
      </c>
      <c r="AF17" s="2">
        <v>0</v>
      </c>
      <c r="AG17" s="3">
        <v>35.25</v>
      </c>
      <c r="AH17" s="2">
        <v>511</v>
      </c>
      <c r="AI17" s="2">
        <v>0</v>
      </c>
      <c r="AJ17" s="2">
        <v>0</v>
      </c>
      <c r="AK17" s="2">
        <v>0</v>
      </c>
      <c r="AL17" s="2">
        <v>63</v>
      </c>
      <c r="AM17" s="2">
        <v>0</v>
      </c>
      <c r="AN17" s="2">
        <v>0</v>
      </c>
      <c r="AO17" s="2">
        <v>0</v>
      </c>
      <c r="AP17" s="3">
        <v>20.668832778930664</v>
      </c>
      <c r="AQ17" s="2">
        <v>0</v>
      </c>
      <c r="AR17" s="2">
        <v>0</v>
      </c>
      <c r="AS17" s="2">
        <v>0</v>
      </c>
      <c r="AT17" s="1" t="s">
        <v>86</v>
      </c>
      <c r="AU17" s="2">
        <v>65</v>
      </c>
      <c r="AV17" s="1" t="s">
        <v>116</v>
      </c>
      <c r="AW17" s="3">
        <v>2059.25</v>
      </c>
      <c r="AX17" s="3">
        <v>659.25</v>
      </c>
      <c r="AY17" s="3">
        <v>2059.25</v>
      </c>
      <c r="AZ17" s="3">
        <v>2059.25</v>
      </c>
      <c r="BA17" s="3">
        <v>1994.25</v>
      </c>
      <c r="BB17" s="2">
        <v>112</v>
      </c>
      <c r="BC17" s="3">
        <v>2106.25</v>
      </c>
      <c r="BD17" s="2">
        <v>0</v>
      </c>
      <c r="BE17" s="3">
        <v>379.125</v>
      </c>
      <c r="BF17" s="3">
        <v>125.63774871826172</v>
      </c>
      <c r="BG17" s="3">
        <v>2485.375</v>
      </c>
      <c r="BH17" s="3">
        <v>2219.600341796875</v>
      </c>
      <c r="BI17" s="3">
        <v>38.072044372558594</v>
      </c>
      <c r="BJ17" s="1" t="s">
        <v>87</v>
      </c>
      <c r="BK17" s="1" t="s">
        <v>88</v>
      </c>
      <c r="BL17" s="1"/>
      <c r="BM17" s="1"/>
      <c r="BN17" s="1"/>
      <c r="BO17" s="1"/>
      <c r="BP17" s="1"/>
      <c r="BQ17" s="2">
        <v>0</v>
      </c>
      <c r="BR17" s="2">
        <v>0</v>
      </c>
      <c r="BS17" s="2">
        <v>0</v>
      </c>
      <c r="BT17" s="3">
        <v>2470.875732421875</v>
      </c>
      <c r="BU17" s="3">
        <v>2093.96240234375</v>
      </c>
      <c r="BV17" s="5">
        <v>45839.959988425922</v>
      </c>
    </row>
    <row r="18" spans="1:74">
      <c r="A18" s="2">
        <v>2025</v>
      </c>
      <c r="B18" s="2">
        <v>6</v>
      </c>
      <c r="C18" s="2">
        <v>4</v>
      </c>
      <c r="D18" s="2">
        <v>757911</v>
      </c>
      <c r="E18" s="6" t="s">
        <v>175</v>
      </c>
      <c r="F18" s="1" t="s">
        <v>75</v>
      </c>
      <c r="G18" s="1" t="s">
        <v>76</v>
      </c>
      <c r="H18" s="1"/>
      <c r="I18" s="1" t="s">
        <v>78</v>
      </c>
      <c r="J18" s="1" t="s">
        <v>79</v>
      </c>
      <c r="K18" s="1" t="s">
        <v>80</v>
      </c>
      <c r="L18" s="1" t="s">
        <v>81</v>
      </c>
      <c r="M18" s="1" t="s">
        <v>82</v>
      </c>
      <c r="N18" s="1" t="s">
        <v>83</v>
      </c>
      <c r="O18" s="1" t="s">
        <v>84</v>
      </c>
      <c r="P18" s="1" t="s">
        <v>85</v>
      </c>
      <c r="Q18" s="2">
        <v>270</v>
      </c>
      <c r="R18" s="2">
        <v>3</v>
      </c>
      <c r="S18" s="2">
        <v>0</v>
      </c>
      <c r="T18" s="2">
        <v>175</v>
      </c>
      <c r="U18" s="2">
        <v>95</v>
      </c>
      <c r="V18" s="2">
        <v>270</v>
      </c>
      <c r="W18" s="2">
        <v>9</v>
      </c>
      <c r="X18" s="2">
        <v>30</v>
      </c>
      <c r="Y18" s="3">
        <v>515.94000244140625</v>
      </c>
      <c r="Z18" s="2">
        <v>0</v>
      </c>
      <c r="AA18" s="2">
        <v>75</v>
      </c>
      <c r="AB18" s="2">
        <v>0</v>
      </c>
      <c r="AC18" s="2">
        <v>6825</v>
      </c>
      <c r="AD18" s="2">
        <v>210</v>
      </c>
      <c r="AE18" s="2">
        <v>0</v>
      </c>
      <c r="AF18" s="2">
        <v>0</v>
      </c>
      <c r="AG18" s="3">
        <v>13.100000381469727</v>
      </c>
      <c r="AH18" s="2">
        <v>3987</v>
      </c>
      <c r="AI18" s="2">
        <v>0</v>
      </c>
      <c r="AJ18" s="2">
        <v>0</v>
      </c>
      <c r="AK18" s="2">
        <v>0</v>
      </c>
      <c r="AL18" s="2">
        <v>288</v>
      </c>
      <c r="AM18" s="2">
        <v>0</v>
      </c>
      <c r="AN18" s="2">
        <v>800</v>
      </c>
      <c r="AO18" s="2">
        <v>0</v>
      </c>
      <c r="AP18" s="3">
        <v>78.367774963378906</v>
      </c>
      <c r="AQ18" s="2">
        <v>0</v>
      </c>
      <c r="AR18" s="2">
        <v>0</v>
      </c>
      <c r="AS18" s="2">
        <v>0</v>
      </c>
      <c r="AT18" s="1" t="s">
        <v>86</v>
      </c>
      <c r="AU18" s="3">
        <v>180.96000671386719</v>
      </c>
      <c r="AV18" s="1" t="s">
        <v>116</v>
      </c>
      <c r="AW18" s="3">
        <v>12123.099609375</v>
      </c>
      <c r="AX18" s="3">
        <v>5298.10009765625</v>
      </c>
      <c r="AY18" s="3">
        <v>12123.099609375</v>
      </c>
      <c r="AZ18" s="3">
        <v>12123.099609375</v>
      </c>
      <c r="BA18" s="3">
        <v>11942.1396484375</v>
      </c>
      <c r="BB18" s="2">
        <v>546</v>
      </c>
      <c r="BC18" s="3">
        <v>12488.1396484375</v>
      </c>
      <c r="BD18" s="2">
        <v>0</v>
      </c>
      <c r="BE18" s="3">
        <v>2247.8651367187499</v>
      </c>
      <c r="BF18" s="3">
        <v>752.35479736328125</v>
      </c>
      <c r="BG18" s="3">
        <v>14736.00478515625</v>
      </c>
      <c r="BH18" s="3">
        <v>13291.6015625</v>
      </c>
      <c r="BI18" s="3">
        <v>46.441654205322266</v>
      </c>
      <c r="BJ18" s="1" t="s">
        <v>87</v>
      </c>
      <c r="BK18" s="1" t="s">
        <v>88</v>
      </c>
      <c r="BL18" s="1"/>
      <c r="BM18" s="1"/>
      <c r="BN18" s="1"/>
      <c r="BO18" s="1"/>
      <c r="BP18" s="1"/>
      <c r="BQ18" s="2">
        <v>0</v>
      </c>
      <c r="BR18" s="2">
        <v>0</v>
      </c>
      <c r="BS18" s="2">
        <v>0</v>
      </c>
      <c r="BT18" s="3">
        <v>14796.3115234375</v>
      </c>
      <c r="BU18" s="3">
        <v>12539.2470703125</v>
      </c>
      <c r="BV18" s="5">
        <v>45839.959988425922</v>
      </c>
    </row>
    <row r="19" spans="1:74">
      <c r="A19" s="2">
        <v>2025</v>
      </c>
      <c r="B19" s="2">
        <v>6</v>
      </c>
      <c r="C19" s="2">
        <v>4</v>
      </c>
      <c r="D19" s="2">
        <v>741275</v>
      </c>
      <c r="E19" s="6" t="s">
        <v>176</v>
      </c>
      <c r="F19" s="1" t="s">
        <v>75</v>
      </c>
      <c r="G19" s="1" t="s">
        <v>94</v>
      </c>
      <c r="H19" s="1"/>
      <c r="I19" s="1" t="s">
        <v>78</v>
      </c>
      <c r="J19" s="1" t="s">
        <v>114</v>
      </c>
      <c r="K19" s="1" t="s">
        <v>80</v>
      </c>
      <c r="L19" s="1" t="s">
        <v>81</v>
      </c>
      <c r="M19" s="1" t="s">
        <v>82</v>
      </c>
      <c r="N19" s="1" t="s">
        <v>83</v>
      </c>
      <c r="O19" s="1" t="s">
        <v>177</v>
      </c>
      <c r="P19" s="1" t="s">
        <v>85</v>
      </c>
      <c r="Q19" s="2">
        <v>215</v>
      </c>
      <c r="R19" s="2">
        <v>2</v>
      </c>
      <c r="S19" s="2">
        <v>1</v>
      </c>
      <c r="T19" s="2">
        <v>135</v>
      </c>
      <c r="U19" s="2">
        <v>80</v>
      </c>
      <c r="V19" s="2">
        <v>216</v>
      </c>
      <c r="W19" s="2">
        <v>8</v>
      </c>
      <c r="X19" s="2">
        <v>29</v>
      </c>
      <c r="Y19" s="3">
        <v>712.739990234375</v>
      </c>
      <c r="Z19" s="2">
        <v>0</v>
      </c>
      <c r="AA19" s="2">
        <v>0</v>
      </c>
      <c r="AB19" s="2">
        <v>30</v>
      </c>
      <c r="AC19" s="2">
        <v>6480</v>
      </c>
      <c r="AD19" s="2">
        <v>85</v>
      </c>
      <c r="AE19" s="2">
        <v>4420</v>
      </c>
      <c r="AF19" s="2">
        <v>0</v>
      </c>
      <c r="AG19" s="2">
        <v>608</v>
      </c>
      <c r="AH19" s="2">
        <v>3240</v>
      </c>
      <c r="AI19" s="2">
        <v>0</v>
      </c>
      <c r="AJ19" s="2">
        <v>0</v>
      </c>
      <c r="AK19" s="2">
        <v>0</v>
      </c>
      <c r="AL19" s="2">
        <v>246</v>
      </c>
      <c r="AM19" s="2">
        <v>0</v>
      </c>
      <c r="AN19" s="2">
        <v>800</v>
      </c>
      <c r="AO19" s="2">
        <v>0</v>
      </c>
      <c r="AP19" s="2">
        <v>72</v>
      </c>
      <c r="AQ19" s="2">
        <v>0</v>
      </c>
      <c r="AR19" s="2">
        <v>0</v>
      </c>
      <c r="AS19" s="2">
        <v>0</v>
      </c>
      <c r="AT19" s="1" t="s">
        <v>86</v>
      </c>
      <c r="AU19" s="2">
        <v>250</v>
      </c>
      <c r="AV19" s="1" t="s">
        <v>178</v>
      </c>
      <c r="AW19" s="2">
        <v>15879</v>
      </c>
      <c r="AX19" s="2">
        <v>9399</v>
      </c>
      <c r="AY19" s="2">
        <v>15879</v>
      </c>
      <c r="AZ19" s="2">
        <v>15879</v>
      </c>
      <c r="BA19" s="2">
        <v>15629</v>
      </c>
      <c r="BB19" s="2">
        <v>518.4</v>
      </c>
      <c r="BC19" s="3">
        <v>16147.4</v>
      </c>
      <c r="BD19" s="2">
        <v>0</v>
      </c>
      <c r="BE19" s="3">
        <v>2906.5319999999997</v>
      </c>
      <c r="BF19" s="3">
        <v>984.62701416015625</v>
      </c>
      <c r="BG19" s="3">
        <v>19053.932000000001</v>
      </c>
      <c r="BH19" s="3">
        <v>17395.076171875</v>
      </c>
      <c r="BI19" s="3">
        <v>76.327674865722656</v>
      </c>
      <c r="BJ19" s="1" t="s">
        <v>87</v>
      </c>
      <c r="BK19" s="1" t="s">
        <v>88</v>
      </c>
      <c r="BL19" s="1"/>
      <c r="BM19" s="1"/>
      <c r="BN19" s="1"/>
      <c r="BO19" s="1"/>
      <c r="BP19" s="1"/>
      <c r="BQ19" s="2">
        <v>0</v>
      </c>
      <c r="BR19" s="2">
        <v>0</v>
      </c>
      <c r="BS19" s="2">
        <v>0</v>
      </c>
      <c r="BT19" s="3">
        <v>19364.330078125</v>
      </c>
      <c r="BU19" s="3">
        <v>16410.44921875</v>
      </c>
      <c r="BV19" s="5">
        <v>45839.959988425922</v>
      </c>
    </row>
    <row r="20" spans="1:74">
      <c r="A20" s="2">
        <v>2025</v>
      </c>
      <c r="B20" s="2">
        <v>6</v>
      </c>
      <c r="C20" s="2">
        <v>4</v>
      </c>
      <c r="D20" s="2">
        <v>738700</v>
      </c>
      <c r="E20" s="6" t="s">
        <v>179</v>
      </c>
      <c r="F20" s="1" t="s">
        <v>75</v>
      </c>
      <c r="G20" s="1" t="s">
        <v>94</v>
      </c>
      <c r="H20" s="1"/>
      <c r="I20" s="1" t="s">
        <v>78</v>
      </c>
      <c r="J20" s="1" t="s">
        <v>180</v>
      </c>
      <c r="K20" s="1" t="s">
        <v>80</v>
      </c>
      <c r="L20" s="1" t="s">
        <v>81</v>
      </c>
      <c r="M20" s="1" t="s">
        <v>82</v>
      </c>
      <c r="N20" s="1" t="s">
        <v>83</v>
      </c>
      <c r="O20" s="1" t="s">
        <v>181</v>
      </c>
      <c r="P20" s="1" t="s">
        <v>85</v>
      </c>
      <c r="Q20" s="2">
        <v>176</v>
      </c>
      <c r="R20" s="2">
        <v>2</v>
      </c>
      <c r="S20" s="2">
        <v>0</v>
      </c>
      <c r="T20" s="2">
        <v>148</v>
      </c>
      <c r="U20" s="2">
        <v>28</v>
      </c>
      <c r="V20" s="2">
        <v>176</v>
      </c>
      <c r="W20" s="2">
        <v>8</v>
      </c>
      <c r="X20" s="2">
        <v>13</v>
      </c>
      <c r="Y20" s="3">
        <v>473.54998779296875</v>
      </c>
      <c r="Z20" s="2">
        <v>0</v>
      </c>
      <c r="AA20" s="2">
        <v>0</v>
      </c>
      <c r="AB20" s="2">
        <v>0</v>
      </c>
      <c r="AC20" s="2">
        <v>5280</v>
      </c>
      <c r="AD20" s="2">
        <v>50</v>
      </c>
      <c r="AE20" s="2">
        <v>0</v>
      </c>
      <c r="AF20" s="2">
        <v>0</v>
      </c>
      <c r="AG20" s="3">
        <v>315.45001220703125</v>
      </c>
      <c r="AH20" s="2">
        <v>2280</v>
      </c>
      <c r="AI20" s="2">
        <v>0</v>
      </c>
      <c r="AJ20" s="2">
        <v>0</v>
      </c>
      <c r="AK20" s="2">
        <v>0</v>
      </c>
      <c r="AL20" s="2">
        <v>84</v>
      </c>
      <c r="AM20" s="2">
        <v>0</v>
      </c>
      <c r="AN20" s="2">
        <v>500</v>
      </c>
      <c r="AO20" s="2">
        <v>0</v>
      </c>
      <c r="AP20" s="3">
        <v>62.53204345703125</v>
      </c>
      <c r="AQ20" s="2">
        <v>0</v>
      </c>
      <c r="AR20" s="2">
        <v>0</v>
      </c>
      <c r="AS20" s="2">
        <v>0</v>
      </c>
      <c r="AT20" s="1" t="s">
        <v>86</v>
      </c>
      <c r="AU20" s="2">
        <v>0</v>
      </c>
      <c r="AV20" s="1" t="s">
        <v>86</v>
      </c>
      <c r="AW20" s="3">
        <v>8509.4501953125</v>
      </c>
      <c r="AX20" s="3">
        <v>3229.449951171875</v>
      </c>
      <c r="AY20" s="3">
        <v>8509.4501953125</v>
      </c>
      <c r="AZ20" s="3">
        <v>8509.4501953125</v>
      </c>
      <c r="BA20" s="3">
        <v>8509.4501953125</v>
      </c>
      <c r="BB20" s="2">
        <v>422.40000000000003</v>
      </c>
      <c r="BC20" s="3">
        <v>8931.8501953124996</v>
      </c>
      <c r="BD20" s="2">
        <v>0</v>
      </c>
      <c r="BE20" s="3">
        <v>1607.7330351562498</v>
      </c>
      <c r="BF20" s="3">
        <v>536.0953369140625</v>
      </c>
      <c r="BG20" s="3">
        <v>10539.58323046875</v>
      </c>
      <c r="BH20" s="3">
        <v>9471.017578125</v>
      </c>
      <c r="BI20" s="3">
        <v>50.766605377197266</v>
      </c>
      <c r="BJ20" s="1" t="s">
        <v>87</v>
      </c>
      <c r="BK20" s="1" t="s">
        <v>88</v>
      </c>
      <c r="BL20" s="1"/>
      <c r="BM20" s="1"/>
      <c r="BN20" s="1"/>
      <c r="BO20" s="1"/>
      <c r="BP20" s="4">
        <v>45645</v>
      </c>
      <c r="BQ20" s="2">
        <v>0</v>
      </c>
      <c r="BR20" s="2">
        <v>0</v>
      </c>
      <c r="BS20" s="2">
        <v>0</v>
      </c>
      <c r="BT20" s="3">
        <v>10543.208984375</v>
      </c>
      <c r="BU20" s="3">
        <v>8934.9228515625</v>
      </c>
      <c r="BV20" s="5">
        <v>45839.959988425922</v>
      </c>
    </row>
    <row r="21" spans="1:74">
      <c r="A21" s="2">
        <v>2025</v>
      </c>
      <c r="B21" s="2">
        <v>6</v>
      </c>
      <c r="C21" s="2">
        <v>4</v>
      </c>
      <c r="D21" s="2">
        <v>735193</v>
      </c>
      <c r="E21" s="6" t="s">
        <v>182</v>
      </c>
      <c r="F21" s="1" t="s">
        <v>75</v>
      </c>
      <c r="G21" s="1" t="s">
        <v>76</v>
      </c>
      <c r="H21" s="1"/>
      <c r="I21" s="1" t="s">
        <v>78</v>
      </c>
      <c r="J21" s="1" t="s">
        <v>104</v>
      </c>
      <c r="K21" s="1" t="s">
        <v>80</v>
      </c>
      <c r="L21" s="1" t="s">
        <v>81</v>
      </c>
      <c r="M21" s="1" t="s">
        <v>82</v>
      </c>
      <c r="N21" s="1" t="s">
        <v>83</v>
      </c>
      <c r="O21" s="1" t="s">
        <v>144</v>
      </c>
      <c r="P21" s="1" t="s">
        <v>85</v>
      </c>
      <c r="Q21" s="2">
        <v>32</v>
      </c>
      <c r="R21" s="2">
        <v>0</v>
      </c>
      <c r="S21" s="2">
        <v>0</v>
      </c>
      <c r="T21" s="2">
        <v>31</v>
      </c>
      <c r="U21" s="2">
        <v>1</v>
      </c>
      <c r="V21" s="2">
        <v>32</v>
      </c>
      <c r="W21" s="2">
        <v>4</v>
      </c>
      <c r="X21" s="2">
        <v>17</v>
      </c>
      <c r="Y21" s="3">
        <v>73.980003356933594</v>
      </c>
      <c r="Z21" s="2">
        <v>0</v>
      </c>
      <c r="AA21" s="2">
        <v>0</v>
      </c>
      <c r="AB21" s="2">
        <v>0</v>
      </c>
      <c r="AC21" s="2">
        <v>800</v>
      </c>
      <c r="AD21" s="2">
        <v>40</v>
      </c>
      <c r="AE21" s="2">
        <v>0</v>
      </c>
      <c r="AF21" s="2">
        <v>0</v>
      </c>
      <c r="AG21" s="3">
        <v>35.349998474121094</v>
      </c>
      <c r="AH21" s="2">
        <v>110</v>
      </c>
      <c r="AI21" s="2">
        <v>0</v>
      </c>
      <c r="AJ21" s="2">
        <v>0</v>
      </c>
      <c r="AK21" s="2">
        <v>0</v>
      </c>
      <c r="AL21" s="2">
        <v>3</v>
      </c>
      <c r="AM21" s="2">
        <v>0</v>
      </c>
      <c r="AN21" s="2">
        <v>0</v>
      </c>
      <c r="AO21" s="2">
        <v>0</v>
      </c>
      <c r="AP21" s="3">
        <v>13.12166690826416</v>
      </c>
      <c r="AQ21" s="2">
        <v>0</v>
      </c>
      <c r="AR21" s="2">
        <v>0</v>
      </c>
      <c r="AS21" s="2">
        <v>0</v>
      </c>
      <c r="AT21" s="1" t="s">
        <v>86</v>
      </c>
      <c r="AU21" s="2">
        <v>70</v>
      </c>
      <c r="AV21" s="1" t="s">
        <v>116</v>
      </c>
      <c r="AW21" s="3">
        <v>988.3499755859375</v>
      </c>
      <c r="AX21" s="3">
        <v>188.35000610351562</v>
      </c>
      <c r="AY21" s="3">
        <v>988.3499755859375</v>
      </c>
      <c r="AZ21" s="3">
        <v>988.3499755859375</v>
      </c>
      <c r="BA21" s="3">
        <v>918.3499755859375</v>
      </c>
      <c r="BB21" s="2">
        <v>64</v>
      </c>
      <c r="BC21" s="3">
        <v>982.3499755859375</v>
      </c>
      <c r="BD21" s="2">
        <v>0</v>
      </c>
      <c r="BE21" s="3">
        <v>176.82299560546875</v>
      </c>
      <c r="BF21" s="3">
        <v>57.856048583984375</v>
      </c>
      <c r="BG21" s="3">
        <v>1159.1729711914063</v>
      </c>
      <c r="BH21" s="3">
        <v>1022.12353515625</v>
      </c>
      <c r="BI21" s="3">
        <v>30.133359909057617</v>
      </c>
      <c r="BJ21" s="1" t="s">
        <v>87</v>
      </c>
      <c r="BK21" s="1" t="s">
        <v>88</v>
      </c>
      <c r="BL21" s="1"/>
      <c r="BM21" s="1"/>
      <c r="BN21" s="1"/>
      <c r="BO21" s="1"/>
      <c r="BP21" s="1"/>
      <c r="BQ21" s="2">
        <v>0</v>
      </c>
      <c r="BR21" s="2">
        <v>0</v>
      </c>
      <c r="BS21" s="2">
        <v>0</v>
      </c>
      <c r="BT21" s="3">
        <v>1137.835693359375</v>
      </c>
      <c r="BU21" s="3">
        <v>964.26751708984375</v>
      </c>
      <c r="BV21" s="5">
        <v>45839.959988425922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B1" sqref="B1"/>
    </sheetView>
  </sheetViews>
  <sheetFormatPr defaultRowHeight="14.25"/>
  <cols>
    <col min="1" max="1" width="15.125" customWidth="1"/>
    <col min="2" max="2" width="37.5" bestFit="1" customWidth="1"/>
    <col min="3" max="3" width="27" bestFit="1" customWidth="1"/>
    <col min="5" max="5" width="12.875" customWidth="1"/>
  </cols>
  <sheetData>
    <row r="1" spans="1:10" ht="15">
      <c r="A1" s="7" t="s">
        <v>3</v>
      </c>
      <c r="B1" s="7" t="s">
        <v>4</v>
      </c>
      <c r="C1" s="7" t="s">
        <v>9</v>
      </c>
      <c r="D1" s="7" t="s">
        <v>16</v>
      </c>
      <c r="E1" s="8" t="s">
        <v>188</v>
      </c>
      <c r="F1" s="7" t="s">
        <v>183</v>
      </c>
      <c r="G1" s="7" t="s">
        <v>184</v>
      </c>
      <c r="H1" s="7" t="s">
        <v>185</v>
      </c>
      <c r="I1" s="7" t="s">
        <v>186</v>
      </c>
      <c r="J1" s="7" t="s">
        <v>187</v>
      </c>
    </row>
    <row r="2" spans="1:10" ht="15">
      <c r="A2" s="9">
        <v>810447</v>
      </c>
      <c r="B2" s="10" t="s">
        <v>74</v>
      </c>
      <c r="C2" s="10" t="s">
        <v>79</v>
      </c>
      <c r="D2" s="9">
        <v>50</v>
      </c>
      <c r="E2" s="9">
        <v>1849</v>
      </c>
      <c r="F2" s="11">
        <v>0</v>
      </c>
      <c r="G2" s="11">
        <v>0</v>
      </c>
      <c r="H2" s="11">
        <f>220*3</f>
        <v>660</v>
      </c>
      <c r="I2" s="13">
        <f>E2-F2-G2-H2</f>
        <v>1189</v>
      </c>
      <c r="J2" s="14">
        <f>I2-(I2*0.01)</f>
        <v>1177.1099999999999</v>
      </c>
    </row>
    <row r="3" spans="1:10" ht="15">
      <c r="A3" s="9">
        <v>810353</v>
      </c>
      <c r="B3" s="10" t="s">
        <v>93</v>
      </c>
      <c r="C3" s="10" t="s">
        <v>96</v>
      </c>
      <c r="D3" s="9">
        <v>19</v>
      </c>
      <c r="E3" s="12">
        <v>875.29998779296875</v>
      </c>
      <c r="F3" s="11">
        <v>0</v>
      </c>
      <c r="G3" s="11">
        <v>0</v>
      </c>
      <c r="H3" s="11">
        <f>220*0</f>
        <v>0</v>
      </c>
      <c r="I3" s="13">
        <f t="shared" ref="I3:I21" si="0">E3-F3-G3-H3</f>
        <v>875.29998779296875</v>
      </c>
      <c r="J3" s="14">
        <f t="shared" ref="J3:J21" si="1">I3-(I3*0.01)</f>
        <v>866.54698791503904</v>
      </c>
    </row>
    <row r="4" spans="1:10" ht="15">
      <c r="A4" s="9">
        <v>784832</v>
      </c>
      <c r="B4" s="10" t="s">
        <v>102</v>
      </c>
      <c r="C4" s="10" t="s">
        <v>104</v>
      </c>
      <c r="D4" s="9">
        <v>151</v>
      </c>
      <c r="E4" s="12">
        <v>7252.64990234375</v>
      </c>
      <c r="F4" s="11">
        <v>1000</v>
      </c>
      <c r="G4" s="11">
        <v>0</v>
      </c>
      <c r="H4" s="11">
        <f>220*8</f>
        <v>1760</v>
      </c>
      <c r="I4" s="13">
        <f t="shared" si="0"/>
        <v>4492.64990234375</v>
      </c>
      <c r="J4" s="14">
        <f t="shared" si="1"/>
        <v>4447.7234033203122</v>
      </c>
    </row>
    <row r="5" spans="1:10" ht="15">
      <c r="A5" s="9">
        <v>793343</v>
      </c>
      <c r="B5" s="10" t="s">
        <v>111</v>
      </c>
      <c r="C5" s="10" t="s">
        <v>114</v>
      </c>
      <c r="D5" s="9">
        <v>18</v>
      </c>
      <c r="E5" s="12">
        <v>1375.6500244140625</v>
      </c>
      <c r="F5" s="11">
        <v>0</v>
      </c>
      <c r="G5" s="11">
        <v>0</v>
      </c>
      <c r="H5" s="11">
        <f>220*2</f>
        <v>440</v>
      </c>
      <c r="I5" s="13">
        <f t="shared" si="0"/>
        <v>935.6500244140625</v>
      </c>
      <c r="J5" s="14">
        <f t="shared" si="1"/>
        <v>926.29352416992185</v>
      </c>
    </row>
    <row r="6" spans="1:10" ht="15">
      <c r="A6" s="9">
        <v>799957</v>
      </c>
      <c r="B6" s="10" t="s">
        <v>120</v>
      </c>
      <c r="C6" s="10" t="s">
        <v>122</v>
      </c>
      <c r="D6" s="9">
        <v>69</v>
      </c>
      <c r="E6" s="12">
        <v>2443.199951171875</v>
      </c>
      <c r="F6" s="11">
        <v>0</v>
      </c>
      <c r="G6" s="11">
        <v>0</v>
      </c>
      <c r="H6" s="11">
        <f>220*0</f>
        <v>0</v>
      </c>
      <c r="I6" s="13">
        <f t="shared" si="0"/>
        <v>2443.199951171875</v>
      </c>
      <c r="J6" s="14">
        <f t="shared" si="1"/>
        <v>2418.7679516601561</v>
      </c>
    </row>
    <row r="7" spans="1:10" ht="15">
      <c r="A7" s="9">
        <v>804059</v>
      </c>
      <c r="B7" s="10" t="s">
        <v>128</v>
      </c>
      <c r="C7" s="10" t="s">
        <v>129</v>
      </c>
      <c r="D7" s="9">
        <v>29</v>
      </c>
      <c r="E7" s="12">
        <v>1072.699951171875</v>
      </c>
      <c r="F7" s="11">
        <v>0</v>
      </c>
      <c r="G7" s="11">
        <v>0</v>
      </c>
      <c r="H7" s="11">
        <f>220*9</f>
        <v>1980</v>
      </c>
      <c r="I7" s="13">
        <f t="shared" si="0"/>
        <v>-907.300048828125</v>
      </c>
      <c r="J7" s="11">
        <f t="shared" si="1"/>
        <v>-898.2270483398438</v>
      </c>
    </row>
    <row r="8" spans="1:10" ht="15">
      <c r="A8" s="9">
        <v>803461</v>
      </c>
      <c r="B8" s="10" t="s">
        <v>131</v>
      </c>
      <c r="C8" s="10" t="s">
        <v>96</v>
      </c>
      <c r="D8" s="9">
        <v>123</v>
      </c>
      <c r="E8" s="12">
        <v>6502.7001953125</v>
      </c>
      <c r="F8" s="11">
        <v>1000</v>
      </c>
      <c r="G8" s="11">
        <v>0</v>
      </c>
      <c r="H8" s="11">
        <f>220*9</f>
        <v>1980</v>
      </c>
      <c r="I8" s="13">
        <f t="shared" si="0"/>
        <v>3522.7001953125</v>
      </c>
      <c r="J8" s="14">
        <f t="shared" si="1"/>
        <v>3487.4731933593748</v>
      </c>
    </row>
    <row r="9" spans="1:10" ht="15">
      <c r="A9" s="9">
        <v>804004</v>
      </c>
      <c r="B9" s="10" t="s">
        <v>139</v>
      </c>
      <c r="C9" s="10" t="s">
        <v>140</v>
      </c>
      <c r="D9" s="9">
        <v>99</v>
      </c>
      <c r="E9" s="12">
        <v>3232.199951171875</v>
      </c>
      <c r="F9" s="11">
        <v>0</v>
      </c>
      <c r="G9" s="11">
        <v>0</v>
      </c>
      <c r="H9" s="11">
        <f>220*9</f>
        <v>1980</v>
      </c>
      <c r="I9" s="13">
        <f t="shared" si="0"/>
        <v>1252.199951171875</v>
      </c>
      <c r="J9" s="14">
        <f t="shared" si="1"/>
        <v>1239.6779516601562</v>
      </c>
    </row>
    <row r="10" spans="1:10" ht="15">
      <c r="A10" s="9">
        <v>799654</v>
      </c>
      <c r="B10" s="10" t="s">
        <v>142</v>
      </c>
      <c r="C10" s="10" t="s">
        <v>104</v>
      </c>
      <c r="D10" s="9">
        <v>154</v>
      </c>
      <c r="E10" s="12">
        <v>7046.4501953125</v>
      </c>
      <c r="F10" s="11">
        <v>0</v>
      </c>
      <c r="G10" s="11">
        <v>0</v>
      </c>
      <c r="H10" s="11">
        <f>220*9</f>
        <v>1980</v>
      </c>
      <c r="I10" s="13">
        <f t="shared" si="0"/>
        <v>5066.4501953125</v>
      </c>
      <c r="J10" s="14">
        <f t="shared" si="1"/>
        <v>5015.7856933593748</v>
      </c>
    </row>
    <row r="11" spans="1:10" ht="15">
      <c r="A11" s="9">
        <v>808550</v>
      </c>
      <c r="B11" s="10" t="s">
        <v>148</v>
      </c>
      <c r="C11" s="10" t="s">
        <v>140</v>
      </c>
      <c r="D11" s="9">
        <v>97</v>
      </c>
      <c r="E11" s="12">
        <v>3767.89990234375</v>
      </c>
      <c r="F11" s="11">
        <v>0</v>
      </c>
      <c r="G11" s="11">
        <v>0</v>
      </c>
      <c r="H11" s="11">
        <f>220*6</f>
        <v>1320</v>
      </c>
      <c r="I11" s="13">
        <f t="shared" si="0"/>
        <v>2447.89990234375</v>
      </c>
      <c r="J11" s="14">
        <f t="shared" si="1"/>
        <v>2423.4209033203124</v>
      </c>
    </row>
    <row r="12" spans="1:10" ht="15">
      <c r="A12" s="9">
        <v>807590</v>
      </c>
      <c r="B12" s="10" t="s">
        <v>153</v>
      </c>
      <c r="C12" s="10" t="s">
        <v>155</v>
      </c>
      <c r="D12" s="9">
        <v>72</v>
      </c>
      <c r="E12" s="12">
        <v>2644.10009765625</v>
      </c>
      <c r="F12" s="11">
        <v>0</v>
      </c>
      <c r="G12" s="11">
        <v>0</v>
      </c>
      <c r="H12" s="11">
        <f>220*0</f>
        <v>0</v>
      </c>
      <c r="I12" s="13">
        <f t="shared" si="0"/>
        <v>2644.10009765625</v>
      </c>
      <c r="J12" s="14">
        <f t="shared" si="1"/>
        <v>2617.6590966796875</v>
      </c>
    </row>
    <row r="13" spans="1:10" ht="15">
      <c r="A13" s="9">
        <v>807590</v>
      </c>
      <c r="B13" s="10" t="s">
        <v>153</v>
      </c>
      <c r="C13" s="10" t="s">
        <v>161</v>
      </c>
      <c r="D13" s="9">
        <v>1</v>
      </c>
      <c r="E13" s="9">
        <v>25</v>
      </c>
      <c r="F13" s="11">
        <v>0</v>
      </c>
      <c r="G13" s="11">
        <v>0</v>
      </c>
      <c r="H13" s="11">
        <f>220*0</f>
        <v>0</v>
      </c>
      <c r="I13" s="13">
        <f t="shared" si="0"/>
        <v>25</v>
      </c>
      <c r="J13" s="11">
        <f t="shared" si="1"/>
        <v>24.75</v>
      </c>
    </row>
    <row r="14" spans="1:10" ht="15">
      <c r="A14" s="9">
        <v>786490</v>
      </c>
      <c r="B14" s="10" t="s">
        <v>163</v>
      </c>
      <c r="C14" s="10" t="s">
        <v>140</v>
      </c>
      <c r="D14" s="9">
        <v>162</v>
      </c>
      <c r="E14" s="12">
        <v>7583.5498046875</v>
      </c>
      <c r="F14" s="11">
        <v>0</v>
      </c>
      <c r="G14" s="11">
        <v>0</v>
      </c>
      <c r="H14" s="11">
        <f>220*9</f>
        <v>1980</v>
      </c>
      <c r="I14" s="13">
        <f t="shared" si="0"/>
        <v>5603.5498046875</v>
      </c>
      <c r="J14" s="14">
        <f t="shared" si="1"/>
        <v>5547.5143066406254</v>
      </c>
    </row>
    <row r="15" spans="1:10" ht="15">
      <c r="A15" s="9">
        <v>808554</v>
      </c>
      <c r="B15" s="10" t="s">
        <v>168</v>
      </c>
      <c r="C15" s="10" t="s">
        <v>161</v>
      </c>
      <c r="D15" s="9">
        <v>26</v>
      </c>
      <c r="E15" s="12">
        <v>821.0999755859375</v>
      </c>
      <c r="F15" s="11">
        <v>0</v>
      </c>
      <c r="G15" s="11">
        <v>0</v>
      </c>
      <c r="H15" s="11">
        <f>220*6</f>
        <v>1320</v>
      </c>
      <c r="I15" s="13">
        <f t="shared" si="0"/>
        <v>-498.9000244140625</v>
      </c>
      <c r="J15" s="11">
        <f t="shared" si="1"/>
        <v>-493.91102416992186</v>
      </c>
    </row>
    <row r="16" spans="1:10" ht="15">
      <c r="A16" s="9">
        <v>756144</v>
      </c>
      <c r="B16" s="10" t="s">
        <v>173</v>
      </c>
      <c r="C16" s="10" t="s">
        <v>140</v>
      </c>
      <c r="D16" s="9">
        <v>129</v>
      </c>
      <c r="E16" s="12">
        <v>5852.89990234375</v>
      </c>
      <c r="F16" s="11">
        <v>0</v>
      </c>
      <c r="G16" s="11">
        <v>0</v>
      </c>
      <c r="H16" s="11">
        <f>220*5</f>
        <v>1100</v>
      </c>
      <c r="I16" s="13">
        <f t="shared" si="0"/>
        <v>4752.89990234375</v>
      </c>
      <c r="J16" s="14">
        <f t="shared" si="1"/>
        <v>4705.3709033203122</v>
      </c>
    </row>
    <row r="17" spans="1:10" ht="15">
      <c r="A17" s="9">
        <v>753406</v>
      </c>
      <c r="B17" s="10" t="s">
        <v>174</v>
      </c>
      <c r="C17" s="10" t="s">
        <v>104</v>
      </c>
      <c r="D17" s="9">
        <v>55</v>
      </c>
      <c r="E17" s="12">
        <v>1994.25</v>
      </c>
      <c r="F17" s="11">
        <v>500</v>
      </c>
      <c r="G17" s="11">
        <v>0</v>
      </c>
      <c r="H17" s="11">
        <f>220*1</f>
        <v>220</v>
      </c>
      <c r="I17" s="13">
        <f t="shared" si="0"/>
        <v>1274.25</v>
      </c>
      <c r="J17" s="14">
        <f t="shared" si="1"/>
        <v>1261.5074999999999</v>
      </c>
    </row>
    <row r="18" spans="1:10" ht="15">
      <c r="A18" s="9">
        <v>757911</v>
      </c>
      <c r="B18" s="10" t="s">
        <v>175</v>
      </c>
      <c r="C18" s="10" t="s">
        <v>79</v>
      </c>
      <c r="D18" s="9">
        <v>270</v>
      </c>
      <c r="E18" s="12">
        <v>11942.1396484375</v>
      </c>
      <c r="F18" s="11">
        <v>2000</v>
      </c>
      <c r="G18" s="11">
        <v>0</v>
      </c>
      <c r="H18" s="11">
        <f>200*9</f>
        <v>1800</v>
      </c>
      <c r="I18" s="13">
        <f t="shared" si="0"/>
        <v>8142.1396484375</v>
      </c>
      <c r="J18" s="14">
        <f t="shared" si="1"/>
        <v>8060.7182519531252</v>
      </c>
    </row>
    <row r="19" spans="1:10" ht="15">
      <c r="A19" s="9">
        <v>741275</v>
      </c>
      <c r="B19" s="10" t="s">
        <v>176</v>
      </c>
      <c r="C19" s="10" t="s">
        <v>114</v>
      </c>
      <c r="D19" s="9">
        <v>215</v>
      </c>
      <c r="E19" s="9">
        <v>15629</v>
      </c>
      <c r="F19" s="11">
        <v>0</v>
      </c>
      <c r="G19" s="11">
        <v>0</v>
      </c>
      <c r="H19" s="11">
        <f>220*9</f>
        <v>1980</v>
      </c>
      <c r="I19" s="13">
        <f t="shared" si="0"/>
        <v>13649</v>
      </c>
      <c r="J19" s="14">
        <f t="shared" si="1"/>
        <v>13512.51</v>
      </c>
    </row>
    <row r="20" spans="1:10" ht="15">
      <c r="A20" s="9">
        <v>738700</v>
      </c>
      <c r="B20" s="10" t="s">
        <v>179</v>
      </c>
      <c r="C20" s="10" t="s">
        <v>180</v>
      </c>
      <c r="D20" s="9">
        <v>176</v>
      </c>
      <c r="E20" s="12">
        <v>8509.4501953125</v>
      </c>
      <c r="F20" s="11">
        <v>0</v>
      </c>
      <c r="G20" s="11">
        <v>0</v>
      </c>
      <c r="H20" s="11">
        <f>220*0</f>
        <v>0</v>
      </c>
      <c r="I20" s="13">
        <f t="shared" si="0"/>
        <v>8509.4501953125</v>
      </c>
      <c r="J20" s="14">
        <f t="shared" si="1"/>
        <v>8424.3556933593754</v>
      </c>
    </row>
    <row r="21" spans="1:10" ht="15">
      <c r="A21" s="9">
        <v>735193</v>
      </c>
      <c r="B21" s="10" t="s">
        <v>182</v>
      </c>
      <c r="C21" s="10" t="s">
        <v>104</v>
      </c>
      <c r="D21" s="9">
        <v>32</v>
      </c>
      <c r="E21" s="12">
        <v>918.3499755859375</v>
      </c>
      <c r="F21" s="11">
        <v>0</v>
      </c>
      <c r="G21" s="11">
        <v>0</v>
      </c>
      <c r="H21" s="11">
        <f>220*9</f>
        <v>1980</v>
      </c>
      <c r="I21" s="13">
        <f t="shared" si="0"/>
        <v>-1061.6500244140625</v>
      </c>
      <c r="J21" s="11">
        <f t="shared" si="1"/>
        <v>-1051.033524169922</v>
      </c>
    </row>
  </sheetData>
  <autoFilter ref="A1:J2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A5" sqref="A5"/>
    </sheetView>
  </sheetViews>
  <sheetFormatPr defaultRowHeight="14.25"/>
  <cols>
    <col min="2" max="2" width="9.875" bestFit="1" customWidth="1"/>
    <col min="3" max="3" width="16" bestFit="1" customWidth="1"/>
    <col min="4" max="4" width="17.625" bestFit="1" customWidth="1"/>
    <col min="8" max="8" width="14.125" bestFit="1" customWidth="1"/>
    <col min="9" max="9" width="15" bestFit="1" customWidth="1"/>
    <col min="10" max="10" width="31.625" bestFit="1" customWidth="1"/>
    <col min="18" max="18" width="16" bestFit="1" customWidth="1"/>
  </cols>
  <sheetData>
    <row r="1" spans="1:18" ht="15">
      <c r="A1" s="17" t="s">
        <v>189</v>
      </c>
      <c r="B1" s="18" t="s">
        <v>190</v>
      </c>
      <c r="C1" s="19" t="s">
        <v>191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5">
      <c r="A2" s="17" t="s">
        <v>192</v>
      </c>
      <c r="B2" s="17" t="s">
        <v>193</v>
      </c>
      <c r="C2" s="19" t="s">
        <v>194</v>
      </c>
      <c r="D2" s="19" t="s">
        <v>195</v>
      </c>
      <c r="E2" s="17"/>
      <c r="F2" s="17"/>
      <c r="G2" s="17"/>
      <c r="H2" s="16" t="s">
        <v>235</v>
      </c>
      <c r="I2" s="16">
        <v>43158627873</v>
      </c>
      <c r="J2" s="16" t="s">
        <v>236</v>
      </c>
      <c r="K2" s="17"/>
      <c r="L2" s="17"/>
      <c r="M2" s="17"/>
      <c r="N2" s="17"/>
      <c r="O2" s="18" t="s">
        <v>197</v>
      </c>
      <c r="P2" s="18" t="s">
        <v>190</v>
      </c>
      <c r="Q2" s="15">
        <v>1177.1099999999999</v>
      </c>
      <c r="R2" s="19" t="s">
        <v>213</v>
      </c>
    </row>
    <row r="3" spans="1:18" ht="15">
      <c r="A3" s="17" t="s">
        <v>192</v>
      </c>
      <c r="B3" s="17" t="s">
        <v>193</v>
      </c>
      <c r="C3" s="19" t="s">
        <v>194</v>
      </c>
      <c r="D3" s="19" t="s">
        <v>195</v>
      </c>
      <c r="E3" s="17"/>
      <c r="F3" s="17"/>
      <c r="G3" s="17"/>
      <c r="H3" s="16" t="s">
        <v>237</v>
      </c>
      <c r="I3" s="21" t="s">
        <v>99</v>
      </c>
      <c r="J3" s="16" t="s">
        <v>230</v>
      </c>
      <c r="K3" s="17"/>
      <c r="L3" s="17"/>
      <c r="M3" s="17"/>
      <c r="N3" s="17"/>
      <c r="O3" s="18" t="s">
        <v>198</v>
      </c>
      <c r="P3" s="18" t="s">
        <v>190</v>
      </c>
      <c r="Q3" s="15">
        <v>866.54698791503904</v>
      </c>
      <c r="R3" s="19" t="s">
        <v>213</v>
      </c>
    </row>
    <row r="4" spans="1:18" ht="15">
      <c r="A4" s="17" t="s">
        <v>192</v>
      </c>
      <c r="B4" s="17" t="s">
        <v>193</v>
      </c>
      <c r="C4" s="19" t="s">
        <v>194</v>
      </c>
      <c r="D4" s="19" t="s">
        <v>195</v>
      </c>
      <c r="E4" s="17"/>
      <c r="F4" s="17"/>
      <c r="G4" s="17"/>
      <c r="H4" s="16" t="s">
        <v>109</v>
      </c>
      <c r="I4" s="16" t="s">
        <v>108</v>
      </c>
      <c r="J4" s="16" t="s">
        <v>231</v>
      </c>
      <c r="K4" s="17"/>
      <c r="L4" s="17"/>
      <c r="M4" s="17"/>
      <c r="N4" s="17"/>
      <c r="O4" s="18" t="s">
        <v>199</v>
      </c>
      <c r="P4" s="18" t="s">
        <v>190</v>
      </c>
      <c r="Q4" s="15">
        <v>4447.7234033203122</v>
      </c>
      <c r="R4" s="19" t="s">
        <v>213</v>
      </c>
    </row>
    <row r="5" spans="1:18" ht="15">
      <c r="A5" s="17" t="s">
        <v>192</v>
      </c>
      <c r="B5" s="17" t="s">
        <v>193</v>
      </c>
      <c r="C5" s="19" t="s">
        <v>194</v>
      </c>
      <c r="D5" s="19" t="s">
        <v>195</v>
      </c>
      <c r="E5" s="17"/>
      <c r="F5" s="17"/>
      <c r="G5" s="17"/>
      <c r="H5" s="16" t="s">
        <v>119</v>
      </c>
      <c r="I5" s="22">
        <v>750302010016829</v>
      </c>
      <c r="J5" s="16" t="s">
        <v>228</v>
      </c>
      <c r="K5" s="17"/>
      <c r="L5" s="17"/>
      <c r="M5" s="17"/>
      <c r="N5" s="17"/>
      <c r="O5" s="18" t="s">
        <v>200</v>
      </c>
      <c r="P5" s="18" t="s">
        <v>190</v>
      </c>
      <c r="Q5" s="15">
        <v>926.29352416992185</v>
      </c>
      <c r="R5" s="19" t="s">
        <v>213</v>
      </c>
    </row>
    <row r="6" spans="1:18" ht="15">
      <c r="A6" s="17" t="s">
        <v>192</v>
      </c>
      <c r="B6" s="17" t="s">
        <v>193</v>
      </c>
      <c r="C6" s="19" t="s">
        <v>194</v>
      </c>
      <c r="D6" s="19" t="s">
        <v>195</v>
      </c>
      <c r="E6" s="17"/>
      <c r="F6" s="17"/>
      <c r="G6" s="17"/>
      <c r="H6" s="16" t="s">
        <v>126</v>
      </c>
      <c r="I6" s="22">
        <v>80090100003225</v>
      </c>
      <c r="J6" s="16" t="s">
        <v>229</v>
      </c>
      <c r="K6" s="17"/>
      <c r="L6" s="17"/>
      <c r="M6" s="17"/>
      <c r="N6" s="17"/>
      <c r="O6" s="18" t="s">
        <v>201</v>
      </c>
      <c r="P6" s="18" t="s">
        <v>190</v>
      </c>
      <c r="Q6" s="15">
        <v>2418.7679516601561</v>
      </c>
      <c r="R6" s="19" t="s">
        <v>213</v>
      </c>
    </row>
    <row r="7" spans="1:18" ht="15">
      <c r="A7" s="17" t="s">
        <v>192</v>
      </c>
      <c r="B7" s="17" t="s">
        <v>193</v>
      </c>
      <c r="C7" s="19" t="s">
        <v>194</v>
      </c>
      <c r="D7" s="19" t="s">
        <v>195</v>
      </c>
      <c r="E7" s="17"/>
      <c r="F7" s="17"/>
      <c r="G7" s="17"/>
      <c r="H7" s="23" t="s">
        <v>137</v>
      </c>
      <c r="I7" s="24" t="s">
        <v>136</v>
      </c>
      <c r="J7" s="16" t="s">
        <v>135</v>
      </c>
      <c r="K7" s="17"/>
      <c r="L7" s="17"/>
      <c r="M7" s="17"/>
      <c r="N7" s="17"/>
      <c r="O7" s="18" t="s">
        <v>202</v>
      </c>
      <c r="P7" s="18" t="s">
        <v>190</v>
      </c>
      <c r="Q7" s="15">
        <v>3487.4731933593748</v>
      </c>
      <c r="R7" s="19" t="s">
        <v>213</v>
      </c>
    </row>
    <row r="8" spans="1:18" ht="15">
      <c r="A8" s="17" t="s">
        <v>192</v>
      </c>
      <c r="B8" s="17" t="s">
        <v>193</v>
      </c>
      <c r="C8" s="19" t="s">
        <v>194</v>
      </c>
      <c r="D8" s="19" t="s">
        <v>195</v>
      </c>
      <c r="E8" s="17"/>
      <c r="F8" s="17"/>
      <c r="G8" s="17"/>
      <c r="H8" s="23" t="s">
        <v>234</v>
      </c>
      <c r="I8" s="16">
        <v>36437425035</v>
      </c>
      <c r="J8" s="16" t="s">
        <v>227</v>
      </c>
      <c r="K8" s="17"/>
      <c r="L8" s="17"/>
      <c r="M8" s="17"/>
      <c r="N8" s="17"/>
      <c r="O8" s="18" t="s">
        <v>203</v>
      </c>
      <c r="P8" s="18" t="s">
        <v>190</v>
      </c>
      <c r="Q8" s="15">
        <v>1239.6779516601562</v>
      </c>
      <c r="R8" s="19" t="s">
        <v>213</v>
      </c>
    </row>
    <row r="9" spans="1:18" ht="15">
      <c r="A9" s="17" t="s">
        <v>192</v>
      </c>
      <c r="B9" s="17" t="s">
        <v>193</v>
      </c>
      <c r="C9" s="19" t="s">
        <v>194</v>
      </c>
      <c r="D9" s="19" t="s">
        <v>195</v>
      </c>
      <c r="E9" s="17"/>
      <c r="F9" s="17"/>
      <c r="G9" s="17"/>
      <c r="H9" s="22" t="s">
        <v>232</v>
      </c>
      <c r="I9" s="22">
        <v>48960100002806</v>
      </c>
      <c r="J9" s="16" t="s">
        <v>142</v>
      </c>
      <c r="K9" s="17"/>
      <c r="L9" s="17"/>
      <c r="M9" s="17"/>
      <c r="N9" s="17"/>
      <c r="O9" s="18" t="s">
        <v>204</v>
      </c>
      <c r="P9" s="18" t="s">
        <v>190</v>
      </c>
      <c r="Q9" s="15">
        <v>5015.7856933593748</v>
      </c>
      <c r="R9" s="19" t="s">
        <v>213</v>
      </c>
    </row>
    <row r="10" spans="1:18" ht="15">
      <c r="A10" s="17" t="s">
        <v>192</v>
      </c>
      <c r="B10" s="17" t="s">
        <v>193</v>
      </c>
      <c r="C10" s="19" t="s">
        <v>194</v>
      </c>
      <c r="D10" s="19" t="s">
        <v>195</v>
      </c>
      <c r="E10" s="17"/>
      <c r="F10" s="17"/>
      <c r="G10" s="17"/>
      <c r="H10" s="16" t="s">
        <v>152</v>
      </c>
      <c r="I10" s="16">
        <v>6249638196</v>
      </c>
      <c r="J10" s="16" t="s">
        <v>226</v>
      </c>
      <c r="K10" s="17"/>
      <c r="L10" s="17"/>
      <c r="M10" s="17"/>
      <c r="N10" s="17"/>
      <c r="O10" s="18" t="s">
        <v>205</v>
      </c>
      <c r="P10" s="18" t="s">
        <v>190</v>
      </c>
      <c r="Q10" s="15">
        <v>2423.4209033203124</v>
      </c>
      <c r="R10" s="19" t="s">
        <v>213</v>
      </c>
    </row>
    <row r="11" spans="1:18" ht="15">
      <c r="A11" s="17" t="s">
        <v>192</v>
      </c>
      <c r="B11" s="17" t="s">
        <v>193</v>
      </c>
      <c r="C11" s="19" t="s">
        <v>194</v>
      </c>
      <c r="D11" s="19" t="s">
        <v>195</v>
      </c>
      <c r="E11" s="17"/>
      <c r="F11" s="17"/>
      <c r="G11" s="17"/>
      <c r="H11" s="16" t="s">
        <v>159</v>
      </c>
      <c r="I11" s="16">
        <v>42329481429</v>
      </c>
      <c r="J11" s="16" t="s">
        <v>233</v>
      </c>
      <c r="K11" s="17"/>
      <c r="L11" s="17"/>
      <c r="M11" s="17"/>
      <c r="N11" s="17"/>
      <c r="O11" s="18" t="s">
        <v>206</v>
      </c>
      <c r="P11" s="18" t="s">
        <v>190</v>
      </c>
      <c r="Q11" s="15">
        <v>2617.6590966796875</v>
      </c>
      <c r="R11" s="19" t="s">
        <v>213</v>
      </c>
    </row>
    <row r="12" spans="1:18" ht="15">
      <c r="A12" s="17" t="s">
        <v>192</v>
      </c>
      <c r="B12" s="17" t="s">
        <v>193</v>
      </c>
      <c r="C12" s="19" t="s">
        <v>194</v>
      </c>
      <c r="D12" s="19" t="s">
        <v>195</v>
      </c>
      <c r="E12" s="17"/>
      <c r="F12" s="17"/>
      <c r="G12" s="17"/>
      <c r="H12" s="25" t="s">
        <v>152</v>
      </c>
      <c r="I12" s="25">
        <v>4050174360</v>
      </c>
      <c r="J12" s="16" t="s">
        <v>224</v>
      </c>
      <c r="K12" s="17"/>
      <c r="L12" s="17"/>
      <c r="M12" s="17"/>
      <c r="N12" s="17"/>
      <c r="O12" s="18" t="s">
        <v>207</v>
      </c>
      <c r="P12" s="18" t="s">
        <v>190</v>
      </c>
      <c r="Q12" s="15">
        <v>5547.5143066406254</v>
      </c>
      <c r="R12" s="19" t="s">
        <v>213</v>
      </c>
    </row>
    <row r="13" spans="1:18" ht="15">
      <c r="A13" s="17" t="s">
        <v>192</v>
      </c>
      <c r="B13" s="17" t="s">
        <v>193</v>
      </c>
      <c r="C13" s="19" t="s">
        <v>194</v>
      </c>
      <c r="D13" s="19" t="s">
        <v>195</v>
      </c>
      <c r="E13" s="17"/>
      <c r="F13" s="17"/>
      <c r="G13" s="17"/>
      <c r="H13" s="16" t="s">
        <v>225</v>
      </c>
      <c r="I13" s="22">
        <v>31194991598</v>
      </c>
      <c r="J13" s="16" t="s">
        <v>223</v>
      </c>
      <c r="K13" s="17"/>
      <c r="L13" s="17"/>
      <c r="M13" s="17"/>
      <c r="N13" s="17"/>
      <c r="O13" s="18" t="s">
        <v>208</v>
      </c>
      <c r="P13" s="18" t="s">
        <v>190</v>
      </c>
      <c r="Q13" s="15">
        <v>4705.3709033203122</v>
      </c>
      <c r="R13" s="19" t="s">
        <v>213</v>
      </c>
    </row>
    <row r="14" spans="1:18" ht="15">
      <c r="A14" s="17" t="s">
        <v>192</v>
      </c>
      <c r="B14" s="17" t="s">
        <v>193</v>
      </c>
      <c r="C14" s="19" t="s">
        <v>194</v>
      </c>
      <c r="D14" s="19" t="s">
        <v>195</v>
      </c>
      <c r="E14" s="17"/>
      <c r="F14" s="17"/>
      <c r="G14" s="17"/>
      <c r="H14" s="16" t="s">
        <v>220</v>
      </c>
      <c r="I14" s="22">
        <v>39321585102</v>
      </c>
      <c r="J14" s="16" t="s">
        <v>221</v>
      </c>
      <c r="K14" s="17"/>
      <c r="L14" s="17"/>
      <c r="M14" s="17"/>
      <c r="N14" s="17"/>
      <c r="O14" s="18" t="s">
        <v>209</v>
      </c>
      <c r="P14" s="18" t="s">
        <v>190</v>
      </c>
      <c r="Q14" s="15">
        <v>1261.5074999999999</v>
      </c>
      <c r="R14" s="19" t="s">
        <v>213</v>
      </c>
    </row>
    <row r="15" spans="1:18" ht="15">
      <c r="A15" s="17" t="s">
        <v>192</v>
      </c>
      <c r="B15" s="17" t="s">
        <v>193</v>
      </c>
      <c r="C15" s="19" t="s">
        <v>194</v>
      </c>
      <c r="D15" s="19" t="s">
        <v>195</v>
      </c>
      <c r="E15" s="17"/>
      <c r="F15" s="17"/>
      <c r="G15" s="17"/>
      <c r="H15" s="16" t="s">
        <v>196</v>
      </c>
      <c r="I15" s="22">
        <v>921010042861859</v>
      </c>
      <c r="J15" s="16" t="s">
        <v>222</v>
      </c>
      <c r="K15" s="17"/>
      <c r="L15" s="17"/>
      <c r="M15" s="17"/>
      <c r="N15" s="17"/>
      <c r="O15" s="18" t="s">
        <v>210</v>
      </c>
      <c r="P15" s="18" t="s">
        <v>190</v>
      </c>
      <c r="Q15" s="15">
        <v>8060.7182519531252</v>
      </c>
      <c r="R15" s="19" t="s">
        <v>213</v>
      </c>
    </row>
    <row r="16" spans="1:18" ht="15">
      <c r="A16" s="17" t="s">
        <v>192</v>
      </c>
      <c r="B16" s="17" t="s">
        <v>193</v>
      </c>
      <c r="C16" s="19" t="s">
        <v>194</v>
      </c>
      <c r="D16" s="19" t="s">
        <v>195</v>
      </c>
      <c r="E16" s="17"/>
      <c r="F16" s="17"/>
      <c r="G16" s="17"/>
      <c r="H16" s="16" t="s">
        <v>217</v>
      </c>
      <c r="I16" s="22" t="s">
        <v>218</v>
      </c>
      <c r="J16" s="16" t="s">
        <v>219</v>
      </c>
      <c r="K16" s="17"/>
      <c r="L16" s="17"/>
      <c r="M16" s="17"/>
      <c r="N16" s="17"/>
      <c r="O16" s="18" t="s">
        <v>211</v>
      </c>
      <c r="P16" s="18" t="s">
        <v>190</v>
      </c>
      <c r="Q16" s="15">
        <v>13512.51</v>
      </c>
      <c r="R16" s="19" t="s">
        <v>213</v>
      </c>
    </row>
    <row r="17" spans="1:18" ht="15">
      <c r="A17" s="17" t="s">
        <v>192</v>
      </c>
      <c r="B17" s="17" t="s">
        <v>193</v>
      </c>
      <c r="C17" s="19" t="s">
        <v>194</v>
      </c>
      <c r="D17" s="19" t="s">
        <v>195</v>
      </c>
      <c r="E17" s="17"/>
      <c r="F17" s="17"/>
      <c r="G17" s="17"/>
      <c r="H17" s="26" t="s">
        <v>215</v>
      </c>
      <c r="I17" s="27">
        <v>68035888954</v>
      </c>
      <c r="J17" s="26" t="s">
        <v>216</v>
      </c>
      <c r="K17" s="17"/>
      <c r="L17" s="17"/>
      <c r="M17" s="17"/>
      <c r="N17" s="17"/>
      <c r="O17" s="18" t="s">
        <v>212</v>
      </c>
      <c r="P17" s="18" t="s">
        <v>190</v>
      </c>
      <c r="Q17" s="15">
        <v>8424.3556933593754</v>
      </c>
      <c r="R17" s="19" t="s">
        <v>213</v>
      </c>
    </row>
    <row r="18" spans="1:18" ht="15">
      <c r="A18" s="17" t="s">
        <v>214</v>
      </c>
      <c r="B18" s="20">
        <v>16</v>
      </c>
      <c r="C18" s="20">
        <v>66132.44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2025-07-02T10:10:40Z</dcterms:created>
  <dcterms:modified xsi:type="dcterms:W3CDTF">2025-07-25T10:08:33Z</dcterms:modified>
</cp:coreProperties>
</file>