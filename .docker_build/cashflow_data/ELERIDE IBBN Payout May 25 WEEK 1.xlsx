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455"/>
  </bookViews>
  <sheets>
    <sheet name="Sheet3" sheetId="4" r:id="rId1"/>
    <sheet name="Sheet1" sheetId="1" r:id="rId2"/>
    <sheet name="Sheet2" sheetId="2" r:id="rId3"/>
    <sheet name="Payment_File" sheetId="3" r:id="rId4"/>
  </sheets>
  <definedNames>
    <definedName name="_xlnm._FilterDatabase" localSheetId="2" hidden="1">Sheet2!$A$1:$H$23</definedName>
  </definedNames>
  <calcPr calcId="152511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2" l="1"/>
  <c r="F24" i="2"/>
  <c r="G24" i="2"/>
  <c r="H24" i="2"/>
  <c r="D24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" i="2"/>
  <c r="G16" i="2"/>
  <c r="G5" i="2" l="1"/>
  <c r="G9" i="2"/>
  <c r="G23" i="2"/>
  <c r="G22" i="2"/>
  <c r="G21" i="2"/>
  <c r="G19" i="2"/>
  <c r="G15" i="2"/>
  <c r="G14" i="2"/>
  <c r="G11" i="2"/>
  <c r="G13" i="2"/>
  <c r="G8" i="2"/>
  <c r="G3" i="2"/>
  <c r="G4" i="2"/>
  <c r="G6" i="2"/>
  <c r="G7" i="2"/>
  <c r="G10" i="2"/>
  <c r="G12" i="2"/>
  <c r="G17" i="2"/>
  <c r="G18" i="2"/>
  <c r="G20" i="2"/>
  <c r="G2" i="2"/>
</calcChain>
</file>

<file path=xl/sharedStrings.xml><?xml version="1.0" encoding="utf-8"?>
<sst xmlns="http://schemas.openxmlformats.org/spreadsheetml/2006/main" count="576" uniqueCount="209">
  <si>
    <t>year</t>
  </si>
  <si>
    <t>month</t>
  </si>
  <si>
    <t>week</t>
  </si>
  <si>
    <t>cee_id</t>
  </si>
  <si>
    <t>cee_name</t>
  </si>
  <si>
    <t>cee_employment_category</t>
  </si>
  <si>
    <t>cee_category</t>
  </si>
  <si>
    <t>city</t>
  </si>
  <si>
    <t>store</t>
  </si>
  <si>
    <t>MG STATUS</t>
  </si>
  <si>
    <t>store_type</t>
  </si>
  <si>
    <t>lmd_provider</t>
  </si>
  <si>
    <t>delivery_mode</t>
  </si>
  <si>
    <t>rate_card_id</t>
  </si>
  <si>
    <t>settlement_frequency</t>
  </si>
  <si>
    <t>delivered_orders</t>
  </si>
  <si>
    <t>cancelled_orders</t>
  </si>
  <si>
    <t>pickup_orders</t>
  </si>
  <si>
    <t>weekday_orders</t>
  </si>
  <si>
    <t>weekend_orders</t>
  </si>
  <si>
    <t>incentivised_orders</t>
  </si>
  <si>
    <t>attendance</t>
  </si>
  <si>
    <t>month_attendance</t>
  </si>
  <si>
    <t>distance</t>
  </si>
  <si>
    <t>cancelled_order_payout</t>
  </si>
  <si>
    <t>pickup_order_payout</t>
  </si>
  <si>
    <t>order_base_payout</t>
  </si>
  <si>
    <t>surge_payout</t>
  </si>
  <si>
    <t>peak_hour_payout</t>
  </si>
  <si>
    <t>peak_slot_payout</t>
  </si>
  <si>
    <t>order_distance_payout</t>
  </si>
  <si>
    <t>daily_order_payout</t>
  </si>
  <si>
    <t>weekly_order_payout</t>
  </si>
  <si>
    <t>monthly_order_payout</t>
  </si>
  <si>
    <t>weight_payout</t>
  </si>
  <si>
    <t>day_payout</t>
  </si>
  <si>
    <t>joining_bonus</t>
  </si>
  <si>
    <t>weekly_attendance_payout</t>
  </si>
  <si>
    <t>monthly_attendance_payout</t>
  </si>
  <si>
    <t>service_time</t>
  </si>
  <si>
    <t>minimum_guarantee</t>
  </si>
  <si>
    <t>mg_eligible_days</t>
  </si>
  <si>
    <t>arrears_amount</t>
  </si>
  <si>
    <t>arrears_reason</t>
  </si>
  <si>
    <t>deductions_amount</t>
  </si>
  <si>
    <t>deductions_reason</t>
  </si>
  <si>
    <t>base_pay</t>
  </si>
  <si>
    <t>incentive_total</t>
  </si>
  <si>
    <t>total_without_arrears</t>
  </si>
  <si>
    <t>total_with_arrears</t>
  </si>
  <si>
    <t>total_with_arrears_and_deductions</t>
  </si>
  <si>
    <t>management_fee</t>
  </si>
  <si>
    <t>total_with_management_fee</t>
  </si>
  <si>
    <t>tds</t>
  </si>
  <si>
    <t>gst</t>
  </si>
  <si>
    <t>final_with_gst</t>
  </si>
  <si>
    <t>bank_account_name</t>
  </si>
  <si>
    <t>bank_account_number</t>
  </si>
  <si>
    <t>ifsc</t>
  </si>
  <si>
    <t>bank_name</t>
  </si>
  <si>
    <t>date_of_joining</t>
  </si>
  <si>
    <t>modified_date</t>
  </si>
  <si>
    <t>TAPASH KUMAR SAHAELERIDE</t>
  </si>
  <si>
    <t>TPL CEE</t>
  </si>
  <si>
    <t>EV</t>
  </si>
  <si>
    <t>PUNE</t>
  </si>
  <si>
    <t>BSPUN-HINJEWADI-GS1</t>
  </si>
  <si>
    <t>Service Fees</t>
  </si>
  <si>
    <t>INTEGRATED</t>
  </si>
  <si>
    <t>ELERIDE MOBILITY SOLUTIONS PVT LTD</t>
  </si>
  <si>
    <t>BIKE</t>
  </si>
  <si>
    <t>INTEGRATED-IBBN-RC-008583-14</t>
  </si>
  <si>
    <t>7 DAYS</t>
  </si>
  <si>
    <t/>
  </si>
  <si>
    <t>PRANAVMAHESH JADHAVJADHAV ELERIDE</t>
  </si>
  <si>
    <t>BSPUN-JAGDISHNAGAR-BS2</t>
  </si>
  <si>
    <t>INTEGRATED-IBBN-RC-009658-9</t>
  </si>
  <si>
    <t>MUKESH BRAMHARAJELERIDE</t>
  </si>
  <si>
    <t>IMRANSHAIKH</t>
  </si>
  <si>
    <t>NEV</t>
  </si>
  <si>
    <t>BSPUN-WAKAD-BS1</t>
  </si>
  <si>
    <t>INTEGRATED-IBBN-RC-009932-11</t>
  </si>
  <si>
    <t>IMRAN AJEEJ SHAIKH</t>
  </si>
  <si>
    <t>7798145335</t>
  </si>
  <si>
    <t>AIRP0000001</t>
  </si>
  <si>
    <t>AIRTEL PAYMENTS BANK</t>
  </si>
  <si>
    <t>SAMADHANJUGADA ELERIDE</t>
  </si>
  <si>
    <t>INTEGRATED-IBBN-RC-008582-15</t>
  </si>
  <si>
    <t>GAURAOJAISWAL</t>
  </si>
  <si>
    <t>T1EX-PUN-PIMPRI</t>
  </si>
  <si>
    <t>INTEGRATED-IBBN-RC-013235-3</t>
  </si>
  <si>
    <t>EV CHARGING DEDUCTION</t>
  </si>
  <si>
    <t>MR GAURAO SHANKARLAL JAISWAL</t>
  </si>
  <si>
    <t>25034936342</t>
  </si>
  <si>
    <t>MAHB0000059</t>
  </si>
  <si>
    <t>BANK OF MAHARASHTRA</t>
  </si>
  <si>
    <t>ROMJANALI ELERIDE</t>
  </si>
  <si>
    <t>LSV</t>
  </si>
  <si>
    <t>MR ROMJAN ALI</t>
  </si>
  <si>
    <t>38539066865</t>
  </si>
  <si>
    <t>SBIN0002065</t>
  </si>
  <si>
    <t>STATE BANK OF INDIA</t>
  </si>
  <si>
    <t>MANJURULLAHKHAN ELERIDE</t>
  </si>
  <si>
    <t>MANJUR ULLAH KHAN</t>
  </si>
  <si>
    <t>924010043095487</t>
  </si>
  <si>
    <t>UTIB0000168</t>
  </si>
  <si>
    <t>AXIS BANK</t>
  </si>
  <si>
    <t>ELERIDESUNILDATTATRAY0RAUT</t>
  </si>
  <si>
    <t>SACHIN NAYASE7350987782</t>
  </si>
  <si>
    <t>T1EX-PUN-WAGHOLI</t>
  </si>
  <si>
    <t>INTEGRATED-IBBN-RC-009587-11</t>
  </si>
  <si>
    <t>SHUBHAM NANDU SATHEELERD</t>
  </si>
  <si>
    <t>T1EX-PUN-BAVDHAN</t>
  </si>
  <si>
    <t>INTEGRATED-IBBN-RC-009637-13</t>
  </si>
  <si>
    <t>PENALTY - LATE REPORTING</t>
  </si>
  <si>
    <t>SALIMSAYYAD ELERIDE MOBILITY</t>
  </si>
  <si>
    <t>T1EX-PUN-MOSHI</t>
  </si>
  <si>
    <t>INTEGRATED-IBBN-RC-010614-8</t>
  </si>
  <si>
    <t>SALIM MAHEBOOB SAYYAD</t>
  </si>
  <si>
    <t>065318210007925</t>
  </si>
  <si>
    <t>BKID0000653</t>
  </si>
  <si>
    <t>BANK OF INDIA</t>
  </si>
  <si>
    <t>ADESH KUMAR RAWATELERIDE</t>
  </si>
  <si>
    <t>T1EX-PUN-BANER</t>
  </si>
  <si>
    <t>INTEGRATED-IBBN-RC-011702-4</t>
  </si>
  <si>
    <t>NIGHT SHIFT MG</t>
  </si>
  <si>
    <t>IBND DEDUCTION</t>
  </si>
  <si>
    <t>ELERIDEAMAN JADHAV</t>
  </si>
  <si>
    <t>INTEGRATED-IBBN-RC-009659-8</t>
  </si>
  <si>
    <t>LATIF SHAIKHELRD BREAK</t>
  </si>
  <si>
    <t>ELERIDEFIRSTDHAMMPAL AVHAD</t>
  </si>
  <si>
    <t>SURENDRA MOHITEELERIDE</t>
  </si>
  <si>
    <t>T1EX-PUN-WADGAONSHERI</t>
  </si>
  <si>
    <t>INTEGRATED-IBBN-RC-009004-17</t>
  </si>
  <si>
    <t>YOGESHGANACHARYA</t>
  </si>
  <si>
    <t>YOGESH SHIBIR GANACHARYA</t>
  </si>
  <si>
    <t>110080759906</t>
  </si>
  <si>
    <t>CNRB0000264</t>
  </si>
  <si>
    <t>CANARA BANK</t>
  </si>
  <si>
    <t>DATTA JADHAVELRD BREAK</t>
  </si>
  <si>
    <t>NIKHIL RAJU GUPTELERIDE BREAK</t>
  </si>
  <si>
    <t>BSPUN-KSQARE-BANER-BS1</t>
  </si>
  <si>
    <t>INTEGRATED-IBBN-RC-009931-10</t>
  </si>
  <si>
    <t>MINIMUM GUARANTEE - HOURLY BASIS</t>
  </si>
  <si>
    <t>IBND DEDUCTION, INCORRECT ORDER ACKNOWLEDGEMENT PROCESS DEVIATION</t>
  </si>
  <si>
    <t>ROHAN SUDHKAR CHAVANELRD  BREAK</t>
  </si>
  <si>
    <t>ANILSANDIMANI</t>
  </si>
  <si>
    <t>INTEGRATED-IBBN-RC-011703-4</t>
  </si>
  <si>
    <t>MR. ANIL G SUNDIMANI</t>
  </si>
  <si>
    <t>33601468213</t>
  </si>
  <si>
    <t>SBIN0001019</t>
  </si>
  <si>
    <t>Advance</t>
  </si>
  <si>
    <t>Rental</t>
  </si>
  <si>
    <t>Final Pay</t>
  </si>
  <si>
    <t>Amount</t>
  </si>
  <si>
    <t>Bank Account Holder Name</t>
  </si>
  <si>
    <t>Account Number</t>
  </si>
  <si>
    <t>IFSC Code</t>
  </si>
  <si>
    <t>Email</t>
  </si>
  <si>
    <t>Tapash Kumar Saha</t>
  </si>
  <si>
    <t>YESB0000481</t>
  </si>
  <si>
    <t>TAPASSAHA8@gmail.com</t>
  </si>
  <si>
    <t>Devkar Maruti Suresh</t>
  </si>
  <si>
    <t>ASBL0000076</t>
  </si>
  <si>
    <t>marutidevkar383@gmail.com</t>
  </si>
  <si>
    <t>Mukesh Bramharaj</t>
  </si>
  <si>
    <t>HDFC0007120</t>
  </si>
  <si>
    <t>Na</t>
  </si>
  <si>
    <t>Samadhan Dattatray Jugadar</t>
  </si>
  <si>
    <t>BKID0001602</t>
  </si>
  <si>
    <t>samadhanjugadar7@gmail.com</t>
  </si>
  <si>
    <t>Master Sunil D.Raut</t>
  </si>
  <si>
    <t>SBIN0000284</t>
  </si>
  <si>
    <t>sunilraut9009@gmail.com</t>
  </si>
  <si>
    <t>Sachin Ambadas Nayse</t>
  </si>
  <si>
    <t>SBIN0000419</t>
  </si>
  <si>
    <t>NA</t>
  </si>
  <si>
    <t>Adesh Kumar Rawat</t>
  </si>
  <si>
    <t>KKBK0005079</t>
  </si>
  <si>
    <t>Vikas Maruti Jadhav</t>
  </si>
  <si>
    <t>MAHB0001261</t>
  </si>
  <si>
    <t>Latif Iqbal Shaikh</t>
  </si>
  <si>
    <t>KKBK0001790</t>
  </si>
  <si>
    <t>abnadwilatif@gmail.com</t>
  </si>
  <si>
    <t>Dhammpal Anil Avhad</t>
  </si>
  <si>
    <t>YESB0000039</t>
  </si>
  <si>
    <t>avhadaniket22@gmail.com</t>
  </si>
  <si>
    <t>Surendra Mohite</t>
  </si>
  <si>
    <t>ICIC0000158</t>
  </si>
  <si>
    <t>pending</t>
  </si>
  <si>
    <t>Datta Jadhav</t>
  </si>
  <si>
    <t>KKBK0000725</t>
  </si>
  <si>
    <t>jadhavdatta2122@gmail.com</t>
  </si>
  <si>
    <t>Nikhil Gupt</t>
  </si>
  <si>
    <t>nikilgupt993@gmail.com</t>
  </si>
  <si>
    <t>Rohan Sudhakar Chavhan</t>
  </si>
  <si>
    <t>UTIB0000338</t>
  </si>
  <si>
    <t>CEE ID</t>
  </si>
  <si>
    <t>Shubham Sathe</t>
  </si>
  <si>
    <t>INBDB0000002</t>
  </si>
  <si>
    <t>PUNB0177600</t>
  </si>
  <si>
    <t>Remark</t>
  </si>
  <si>
    <t>Hold</t>
  </si>
  <si>
    <t>Row Labels</t>
  </si>
  <si>
    <t>Grand Total</t>
  </si>
  <si>
    <t>Sum of delivered_orders</t>
  </si>
  <si>
    <t>Sum of total_with_arrears_and_deductions</t>
  </si>
  <si>
    <t>Sum of management_fee</t>
  </si>
  <si>
    <t>Sum of total_with_management_fee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</si>
</sst>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0"/>
    <numFmt numFmtId="165" formatCode="###0.##"/>
    <numFmt numFmtId="166" formatCode="mmm\ d\,\ yyyy\,\ hh:mm"/>
    <numFmt numFmtId="167" formatCode="mmm\ d\,\ yyyy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1" fontId="2" fillId="0" borderId="1" xfId="0" applyNumberFormat="1" applyFont="1" applyBorder="1" applyAlignment="1"/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 applyAlignment="1"/>
    <xf numFmtId="1" fontId="2" fillId="2" borderId="1" xfId="0" applyNumberFormat="1" applyFont="1" applyFill="1" applyBorder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5786.563720833336" createdVersion="5" refreshedVersion="5" minRefreshableVersion="3" recordCount="22">
  <cacheSource type="worksheet">
    <worksheetSource ref="A1:BJ23" sheet="Sheet1"/>
  </cacheSource>
  <cacheFields count="62">
    <cacheField name="year" numFmtId="164">
      <sharedItems containsSemiMixedTypes="0" containsString="0" containsNumber="1" containsInteger="1" minValue="2025" maxValue="2025"/>
    </cacheField>
    <cacheField name="month" numFmtId="164">
      <sharedItems containsSemiMixedTypes="0" containsString="0" containsNumber="1" containsInteger="1" minValue="5" maxValue="5"/>
    </cacheField>
    <cacheField name="week" numFmtId="164">
      <sharedItems containsSemiMixedTypes="0" containsString="0" containsNumber="1" containsInteger="1" minValue="1" maxValue="1"/>
    </cacheField>
    <cacheField name="cee_id" numFmtId="164">
      <sharedItems containsSemiMixedTypes="0" containsString="0" containsNumber="1" containsInteger="1" minValue="735193" maxValue="784862"/>
    </cacheField>
    <cacheField name="cee_name" numFmtId="0">
      <sharedItems/>
    </cacheField>
    <cacheField name="cee_employment_category" numFmtId="0">
      <sharedItems/>
    </cacheField>
    <cacheField name="cee_category" numFmtId="0">
      <sharedItems/>
    </cacheField>
    <cacheField name="city" numFmtId="0">
      <sharedItems/>
    </cacheField>
    <cacheField name="store" numFmtId="0">
      <sharedItems count="10">
        <s v="BSPUN-HINJEWADI-GS1"/>
        <s v="BSPUN-JAGDISHNAGAR-BS2"/>
        <s v="BSPUN-WAKAD-BS1"/>
        <s v="T1EX-PUN-PIMPRI"/>
        <s v="T1EX-PUN-WAGHOLI"/>
        <s v="T1EX-PUN-BAVDHAN"/>
        <s v="T1EX-PUN-MOSHI"/>
        <s v="T1EX-PUN-BANER"/>
        <s v="T1EX-PUN-WADGAONSHERI"/>
        <s v="BSPUN-KSQARE-BANER-BS1"/>
      </sharedItems>
    </cacheField>
    <cacheField name="MG STATUS" numFmtId="0">
      <sharedItems/>
    </cacheField>
    <cacheField name="store_type" numFmtId="0">
      <sharedItems/>
    </cacheField>
    <cacheField name="lmd_provider" numFmtId="0">
      <sharedItems/>
    </cacheField>
    <cacheField name="delivery_mode" numFmtId="0">
      <sharedItems/>
    </cacheField>
    <cacheField name="rate_card_id" numFmtId="0">
      <sharedItems/>
    </cacheField>
    <cacheField name="settlement_frequency" numFmtId="0">
      <sharedItems/>
    </cacheField>
    <cacheField name="delivered_orders" numFmtId="164">
      <sharedItems containsSemiMixedTypes="0" containsString="0" containsNumber="1" containsInteger="1" minValue="7" maxValue="265"/>
    </cacheField>
    <cacheField name="cancelled_orders" numFmtId="164">
      <sharedItems containsSemiMixedTypes="0" containsString="0" containsNumber="1" containsInteger="1" minValue="0" maxValue="9"/>
    </cacheField>
    <cacheField name="pickup_orders" numFmtId="164">
      <sharedItems containsSemiMixedTypes="0" containsString="0" containsNumber="1" containsInteger="1" minValue="0" maxValue="0"/>
    </cacheField>
    <cacheField name="weekday_orders" numFmtId="164">
      <sharedItems containsSemiMixedTypes="0" containsString="0" containsNumber="1" containsInteger="1" minValue="0" maxValue="187"/>
    </cacheField>
    <cacheField name="weekend_orders" numFmtId="164">
      <sharedItems containsSemiMixedTypes="0" containsString="0" containsNumber="1" containsInteger="1" minValue="0" maxValue="78"/>
    </cacheField>
    <cacheField name="incentivised_orders" numFmtId="164">
      <sharedItems containsSemiMixedTypes="0" containsString="0" containsNumber="1" containsInteger="1" minValue="7" maxValue="265"/>
    </cacheField>
    <cacheField name="attendance" numFmtId="164">
      <sharedItems containsSemiMixedTypes="0" containsString="0" containsNumber="1" containsInteger="1" minValue="1" maxValue="7"/>
    </cacheField>
    <cacheField name="month_attendance" numFmtId="164">
      <sharedItems containsSemiMixedTypes="0" containsString="0" containsNumber="1" containsInteger="1" minValue="0" maxValue="0"/>
    </cacheField>
    <cacheField name="distance" numFmtId="0">
      <sharedItems containsSemiMixedTypes="0" containsString="0" containsNumber="1" minValue="17.139999389648438" maxValue="901.94000244140625"/>
    </cacheField>
    <cacheField name="cancelled_order_payout" numFmtId="164">
      <sharedItems containsSemiMixedTypes="0" containsString="0" containsNumber="1" containsInteger="1" minValue="0" maxValue="243"/>
    </cacheField>
    <cacheField name="pickup_order_payout" numFmtId="164">
      <sharedItems containsSemiMixedTypes="0" containsString="0" containsNumber="1" containsInteger="1" minValue="0" maxValue="0"/>
    </cacheField>
    <cacheField name="order_base_payout" numFmtId="164">
      <sharedItems containsSemiMixedTypes="0" containsString="0" containsNumber="1" containsInteger="1" minValue="189" maxValue="7398"/>
    </cacheField>
    <cacheField name="surge_payout" numFmtId="164">
      <sharedItems containsSemiMixedTypes="0" containsString="0" containsNumber="1" containsInteger="1" minValue="0" maxValue="0"/>
    </cacheField>
    <cacheField name="peak_hour_payout" numFmtId="164">
      <sharedItems containsSemiMixedTypes="0" containsString="0" containsNumber="1" containsInteger="1" minValue="0" maxValue="4480"/>
    </cacheField>
    <cacheField name="peak_slot_payout" numFmtId="164">
      <sharedItems containsSemiMixedTypes="0" containsString="0" containsNumber="1" containsInteger="1" minValue="0" maxValue="0"/>
    </cacheField>
    <cacheField name="order_distance_payout" numFmtId="0">
      <sharedItems containsSemiMixedTypes="0" containsString="0" containsNumber="1" minValue="0" maxValue="421.1400146484375"/>
    </cacheField>
    <cacheField name="daily_order_payout" numFmtId="164">
      <sharedItems containsSemiMixedTypes="0" containsString="0" containsNumber="1" containsInteger="1" minValue="0" maxValue="4644"/>
    </cacheField>
    <cacheField name="weekly_order_payout" numFmtId="164">
      <sharedItems containsSemiMixedTypes="0" containsString="0" containsNumber="1" containsInteger="1" minValue="0" maxValue="0"/>
    </cacheField>
    <cacheField name="monthly_order_payout" numFmtId="164">
      <sharedItems containsSemiMixedTypes="0" containsString="0" containsNumber="1" containsInteger="1" minValue="0" maxValue="0"/>
    </cacheField>
    <cacheField name="weight_payout" numFmtId="164">
      <sharedItems containsSemiMixedTypes="0" containsString="0" containsNumber="1" containsInteger="1" minValue="0" maxValue="60"/>
    </cacheField>
    <cacheField name="day_payout" numFmtId="164">
      <sharedItems containsSemiMixedTypes="0" containsString="0" containsNumber="1" containsInteger="1" minValue="0" maxValue="237"/>
    </cacheField>
    <cacheField name="joining_bonus" numFmtId="164">
      <sharedItems containsSemiMixedTypes="0" containsString="0" containsNumber="1" containsInteger="1" minValue="0" maxValue="0"/>
    </cacheField>
    <cacheField name="weekly_attendance_payout" numFmtId="164">
      <sharedItems containsSemiMixedTypes="0" containsString="0" containsNumber="1" containsInteger="1" minValue="0" maxValue="800"/>
    </cacheField>
    <cacheField name="monthly_attendance_payout" numFmtId="164">
      <sharedItems containsSemiMixedTypes="0" containsString="0" containsNumber="1" containsInteger="1" minValue="0" maxValue="0"/>
    </cacheField>
    <cacheField name="service_time" numFmtId="0">
      <sharedItems containsSemiMixedTypes="0" containsString="0" containsNumber="1" minValue="2.6005001068115234" maxValue="63"/>
    </cacheField>
    <cacheField name="minimum_guarantee" numFmtId="164">
      <sharedItems containsSemiMixedTypes="0" containsString="0" containsNumber="1" containsInteger="1" minValue="0" maxValue="600"/>
    </cacheField>
    <cacheField name="mg_eligible_days" numFmtId="164">
      <sharedItems containsSemiMixedTypes="0" containsString="0" containsNumber="1" containsInteger="1" minValue="0" maxValue="6"/>
    </cacheField>
    <cacheField name="arrears_amount" numFmtId="164">
      <sharedItems containsSemiMixedTypes="0" containsString="0" containsNumber="1" containsInteger="1" minValue="0" maxValue="1400"/>
    </cacheField>
    <cacheField name="arrears_reason" numFmtId="0">
      <sharedItems/>
    </cacheField>
    <cacheField name="deductions_amount" numFmtId="0">
      <sharedItems containsSemiMixedTypes="0" containsString="0" containsNumber="1" minValue="0" maxValue="357"/>
    </cacheField>
    <cacheField name="deductions_reason" numFmtId="0">
      <sharedItems/>
    </cacheField>
    <cacheField name="base_pay" numFmtId="0">
      <sharedItems containsSemiMixedTypes="0" containsString="0" containsNumber="1" minValue="189" maxValue="17559"/>
    </cacheField>
    <cacheField name="incentive_total" numFmtId="0">
      <sharedItems containsSemiMixedTypes="0" containsString="0" containsNumber="1" minValue="0" maxValue="10161"/>
    </cacheField>
    <cacheField name="total_without_arrears" numFmtId="0">
      <sharedItems containsSemiMixedTypes="0" containsString="0" containsNumber="1" minValue="189" maxValue="17559"/>
    </cacheField>
    <cacheField name="total_with_arrears" numFmtId="0">
      <sharedItems containsSemiMixedTypes="0" containsString="0" containsNumber="1" minValue="189" maxValue="18959" count="22">
        <n v="2110"/>
        <n v="403"/>
        <n v="7584"/>
        <n v="3031"/>
        <n v="6192"/>
        <n v="2467.110107421875"/>
        <n v="189"/>
        <n v="1272"/>
        <n v="5674"/>
        <n v="11921.1396484375"/>
        <n v="2848"/>
        <n v="359.8800048828125"/>
        <n v="18959"/>
        <n v="5073"/>
        <n v="416"/>
        <n v="6935"/>
        <n v="4028.25"/>
        <n v="270"/>
        <n v="6834"/>
        <n v="10326.9501953125"/>
        <n v="10764"/>
        <n v="870"/>
      </sharedItems>
    </cacheField>
    <cacheField name="total_with_arrears_and_deductions" numFmtId="0">
      <sharedItems containsSemiMixedTypes="0" containsString="0" containsNumber="1" minValue="189" maxValue="18894"/>
    </cacheField>
    <cacheField name="management_fee" numFmtId="165">
      <sharedItems containsSemiMixedTypes="0" containsString="0" containsNumber="1" minValue="15.120000000000001" maxValue="591.84"/>
    </cacheField>
    <cacheField name="total_with_management_fee" numFmtId="165">
      <sharedItems containsSemiMixedTypes="0" containsString="0" containsNumber="1" minValue="204.12" maxValue="19485.84"/>
    </cacheField>
    <cacheField name="tds" numFmtId="164">
      <sharedItems containsSemiMixedTypes="0" containsString="0" containsNumber="1" containsInteger="1" minValue="0" maxValue="0"/>
    </cacheField>
    <cacheField name="gst" numFmtId="165">
      <sharedItems containsSemiMixedTypes="0" containsString="0" containsNumber="1" minValue="36.741599999999998" maxValue="3507.4512"/>
    </cacheField>
    <cacheField name="final_with_gst" numFmtId="164">
      <sharedItems containsSemiMixedTypes="0" containsString="0" containsNumber="1" minValue="240.86160000000001" maxValue="22993.2912"/>
    </cacheField>
    <cacheField name="bank_account_name" numFmtId="0">
      <sharedItems containsBlank="1"/>
    </cacheField>
    <cacheField name="bank_account_number" numFmtId="0">
      <sharedItems containsBlank="1"/>
    </cacheField>
    <cacheField name="ifsc" numFmtId="0">
      <sharedItems containsBlank="1"/>
    </cacheField>
    <cacheField name="bank_name" numFmtId="0">
      <sharedItems containsBlank="1"/>
    </cacheField>
    <cacheField name="date_of_joining" numFmtId="0">
      <sharedItems containsNonDate="0" containsDate="1" containsString="0" containsBlank="1" minDate="2024-12-19T00:00:00" maxDate="2025-05-06T00:00:00"/>
    </cacheField>
    <cacheField name="modified_date" numFmtId="166">
      <sharedItems containsSemiMixedTypes="0" containsNonDate="0" containsDate="1" containsString="0" minDate="2025-05-08T08:32:00" maxDate="2025-05-08T08:32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">
  <r>
    <n v="2025"/>
    <n v="5"/>
    <n v="1"/>
    <n v="753406"/>
    <s v="TAPASH KUMAR SAHAELERIDE"/>
    <s v="TPL CEE"/>
    <s v="EV"/>
    <s v="PUNE"/>
    <x v="0"/>
    <s v="Service Fees"/>
    <s v="INTEGRATED"/>
    <s v="ELERIDE MOBILITY SOLUTIONS PVT LTD"/>
    <s v="BIKE"/>
    <s v="INTEGRATED-IBBN-RC-008583-14"/>
    <s v="7 DAYS"/>
    <n v="55"/>
    <n v="1"/>
    <n v="0"/>
    <n v="42"/>
    <n v="13"/>
    <n v="55"/>
    <n v="4"/>
    <n v="0"/>
    <n v="223.27000427246094"/>
    <n v="27"/>
    <n v="0"/>
    <n v="1512"/>
    <n v="0"/>
    <n v="0"/>
    <n v="0"/>
    <n v="0"/>
    <n v="559"/>
    <n v="0"/>
    <n v="0"/>
    <n v="0"/>
    <n v="39"/>
    <n v="0"/>
    <n v="0"/>
    <n v="0"/>
    <n v="22.620143890380859"/>
    <n v="0"/>
    <n v="0"/>
    <n v="0"/>
    <s v=""/>
    <n v="0"/>
    <s v=""/>
    <n v="2110"/>
    <n v="598"/>
    <n v="2110"/>
    <x v="0"/>
    <n v="2110"/>
    <n v="120.96000000000001"/>
    <n v="2230.96"/>
    <n v="0"/>
    <n v="401.57279999999997"/>
    <n v="2632.5328"/>
    <m/>
    <m/>
    <m/>
    <m/>
    <m/>
    <d v="2025-05-08T08:32:00"/>
  </r>
  <r>
    <n v="2025"/>
    <n v="5"/>
    <n v="1"/>
    <n v="739946"/>
    <s v="PRANAVMAHESH JADHAVJADHAV ELERIDE"/>
    <s v="TPL CEE"/>
    <s v="EV"/>
    <s v="PUNE"/>
    <x v="1"/>
    <s v="Service Fees"/>
    <s v="INTEGRATED"/>
    <s v="ELERIDE MOBILITY SOLUTIONS PVT LTD"/>
    <s v="BIKE"/>
    <s v="INTEGRATED-IBBN-RC-009658-9"/>
    <s v="7 DAYS"/>
    <n v="14"/>
    <n v="0"/>
    <n v="0"/>
    <n v="9"/>
    <n v="5"/>
    <n v="14"/>
    <n v="3"/>
    <n v="0"/>
    <n v="71.709999084472656"/>
    <n v="0"/>
    <n v="0"/>
    <n v="378"/>
    <n v="0"/>
    <n v="10"/>
    <n v="0"/>
    <n v="0"/>
    <n v="0"/>
    <n v="0"/>
    <n v="0"/>
    <n v="0"/>
    <n v="15"/>
    <n v="0"/>
    <n v="0"/>
    <n v="0"/>
    <n v="7.7256999015808105"/>
    <n v="0"/>
    <n v="0"/>
    <n v="0"/>
    <s v=""/>
    <n v="0"/>
    <s v=""/>
    <n v="403"/>
    <n v="25"/>
    <n v="403"/>
    <x v="1"/>
    <n v="403"/>
    <n v="30.240000000000002"/>
    <n v="433.24"/>
    <n v="0"/>
    <n v="77.983199999999997"/>
    <n v="511.22320000000002"/>
    <m/>
    <m/>
    <m/>
    <m/>
    <m/>
    <d v="2025-05-08T08:32:00"/>
  </r>
  <r>
    <n v="2025"/>
    <n v="5"/>
    <n v="1"/>
    <n v="755539"/>
    <s v="MUKESH BRAMHARAJELERIDE"/>
    <s v="TPL CEE"/>
    <s v="EV"/>
    <s v="PUNE"/>
    <x v="0"/>
    <s v="Service Fees"/>
    <s v="INTEGRATED"/>
    <s v="ELERIDE MOBILITY SOLUTIONS PVT LTD"/>
    <s v="BIKE"/>
    <s v="INTEGRATED-IBBN-RC-008583-14"/>
    <s v="7 DAYS"/>
    <n v="159"/>
    <n v="0"/>
    <n v="0"/>
    <n v="107"/>
    <n v="52"/>
    <n v="159"/>
    <n v="6"/>
    <n v="0"/>
    <n v="685.8699951171875"/>
    <n v="0"/>
    <n v="0"/>
    <n v="4293"/>
    <n v="0"/>
    <n v="0"/>
    <n v="0"/>
    <n v="0"/>
    <n v="2285"/>
    <n v="0"/>
    <n v="0"/>
    <n v="0"/>
    <n v="156"/>
    <n v="0"/>
    <n v="250"/>
    <n v="0"/>
    <n v="53.309188842773438"/>
    <n v="600"/>
    <n v="6"/>
    <n v="0"/>
    <s v=""/>
    <n v="0"/>
    <s v=""/>
    <n v="6984"/>
    <n v="2691"/>
    <n v="7584"/>
    <x v="2"/>
    <n v="7584"/>
    <n v="343.44"/>
    <n v="7927.44"/>
    <n v="0"/>
    <n v="1426.9391999999998"/>
    <n v="9354.3791999999994"/>
    <m/>
    <m/>
    <m/>
    <m/>
    <m/>
    <d v="2025-05-08T08:32:00"/>
  </r>
  <r>
    <n v="2025"/>
    <n v="5"/>
    <n v="1"/>
    <n v="784299"/>
    <s v="IMRANSHAIKH"/>
    <s v="TPL CEE"/>
    <s v="NEV"/>
    <s v="PUNE"/>
    <x v="2"/>
    <s v="Service Fees"/>
    <s v="INTEGRATED"/>
    <s v="ELERIDE MOBILITY SOLUTIONS PVT LTD"/>
    <s v="BIKE"/>
    <s v="INTEGRATED-IBBN-RC-009932-11"/>
    <s v="7 DAYS"/>
    <n v="59"/>
    <n v="1"/>
    <n v="0"/>
    <n v="59"/>
    <n v="0"/>
    <n v="59"/>
    <n v="3"/>
    <n v="0"/>
    <n v="275.989990234375"/>
    <n v="30"/>
    <n v="0"/>
    <n v="1800"/>
    <n v="0"/>
    <n v="0"/>
    <n v="0"/>
    <n v="0"/>
    <n v="901"/>
    <n v="0"/>
    <n v="0"/>
    <n v="30"/>
    <n v="0"/>
    <n v="0"/>
    <n v="0"/>
    <n v="0"/>
    <n v="20.739276885986328"/>
    <n v="300"/>
    <n v="2"/>
    <n v="0"/>
    <s v=""/>
    <n v="0"/>
    <s v=""/>
    <n v="2731"/>
    <n v="931"/>
    <n v="3031"/>
    <x v="3"/>
    <n v="3031"/>
    <n v="144"/>
    <n v="3175"/>
    <n v="0"/>
    <n v="571.5"/>
    <n v="3746.5"/>
    <s v="IMRAN AJEEJ SHAIKH"/>
    <s v="7798145335"/>
    <s v="AIRP0000001"/>
    <s v="AIRTEL PAYMENTS BANK"/>
    <d v="2025-05-03T00:00:00"/>
    <d v="2025-05-08T08:32:00"/>
  </r>
  <r>
    <n v="2025"/>
    <n v="5"/>
    <n v="1"/>
    <n v="746897"/>
    <s v="SAMADHANJUGADA ELERIDE"/>
    <s v="TPL CEE"/>
    <s v="NEV"/>
    <s v="PUNE"/>
    <x v="0"/>
    <s v="Service Fees"/>
    <s v="INTEGRATED"/>
    <s v="ELERIDE MOBILITY SOLUTIONS PVT LTD"/>
    <s v="BIKE"/>
    <s v="INTEGRATED-IBBN-RC-008582-15"/>
    <s v="7 DAYS"/>
    <n v="124"/>
    <n v="3"/>
    <n v="0"/>
    <n v="88"/>
    <n v="36"/>
    <n v="124"/>
    <n v="7"/>
    <n v="0"/>
    <n v="567.6300048828125"/>
    <n v="90"/>
    <n v="0"/>
    <n v="3810"/>
    <n v="0"/>
    <n v="0"/>
    <n v="0"/>
    <n v="0"/>
    <n v="1624"/>
    <n v="0"/>
    <n v="0"/>
    <n v="0"/>
    <n v="108"/>
    <n v="0"/>
    <n v="250"/>
    <n v="0"/>
    <n v="51.528366088867187"/>
    <n v="400"/>
    <n v="4"/>
    <n v="0"/>
    <s v=""/>
    <n v="0"/>
    <s v=""/>
    <n v="5792"/>
    <n v="1982"/>
    <n v="6192"/>
    <x v="4"/>
    <n v="6192"/>
    <n v="304.8"/>
    <n v="6496.8"/>
    <n v="0"/>
    <n v="1169.424"/>
    <n v="7666.2240000000002"/>
    <m/>
    <m/>
    <m/>
    <m/>
    <m/>
    <d v="2025-05-08T08:32:00"/>
  </r>
  <r>
    <n v="2025"/>
    <n v="5"/>
    <n v="1"/>
    <n v="780996"/>
    <s v="GAURAOJAISWAL"/>
    <s v="TPL CEE"/>
    <s v="EV"/>
    <s v="PUNE"/>
    <x v="3"/>
    <s v="Service Fees"/>
    <s v="INTEGRATED"/>
    <s v="ELERIDE MOBILITY SOLUTIONS PVT LTD"/>
    <s v="BIKE"/>
    <s v="INTEGRATED-IBBN-RC-013235-3"/>
    <s v="7 DAYS"/>
    <n v="67"/>
    <n v="0"/>
    <n v="0"/>
    <n v="49"/>
    <n v="18"/>
    <n v="67"/>
    <n v="6"/>
    <n v="0"/>
    <n v="306.1400146484375"/>
    <n v="0"/>
    <n v="0"/>
    <n v="1809"/>
    <n v="0"/>
    <n v="0"/>
    <n v="0"/>
    <n v="154.11000061035156"/>
    <n v="450"/>
    <n v="0"/>
    <n v="0"/>
    <n v="0"/>
    <n v="54"/>
    <n v="0"/>
    <n v="0"/>
    <n v="0"/>
    <n v="28.556066513061523"/>
    <n v="0"/>
    <n v="0"/>
    <n v="0"/>
    <s v=""/>
    <n v="42"/>
    <s v="EV CHARGING DEDUCTION"/>
    <n v="2467.110107421875"/>
    <n v="658.1099853515625"/>
    <n v="2467.110107421875"/>
    <x v="5"/>
    <n v="2425.110107421875"/>
    <n v="144.72"/>
    <n v="2569.8301074218748"/>
    <n v="0"/>
    <n v="462.56941933593743"/>
    <n v="3032.3995267578121"/>
    <s v="MR GAURAO SHANKARLAL JAISWAL"/>
    <s v="25034936342"/>
    <s v="MAHB0000059"/>
    <s v="BANK OF MAHARASHTRA"/>
    <d v="2025-04-25T00:00:00"/>
    <d v="2025-05-08T08:32:00"/>
  </r>
  <r>
    <n v="2025"/>
    <n v="5"/>
    <n v="1"/>
    <n v="784779"/>
    <s v="ROMJANALI ELERIDE"/>
    <s v="TPL CEE"/>
    <s v="LSV"/>
    <s v="PUNE"/>
    <x v="0"/>
    <s v="Service Fees"/>
    <s v="INTEGRATED"/>
    <s v="ELERIDE MOBILITY SOLUTIONS PVT LTD"/>
    <s v="BIKE"/>
    <s v="INTEGRATED-IBBN-RC-008583-14"/>
    <s v="7 DAYS"/>
    <n v="7"/>
    <n v="0"/>
    <n v="0"/>
    <n v="7"/>
    <n v="0"/>
    <n v="7"/>
    <n v="1"/>
    <n v="0"/>
    <n v="17.139999389648438"/>
    <n v="0"/>
    <n v="0"/>
    <n v="189"/>
    <n v="0"/>
    <n v="0"/>
    <n v="0"/>
    <n v="0"/>
    <n v="0"/>
    <n v="0"/>
    <n v="0"/>
    <n v="0"/>
    <n v="0"/>
    <n v="0"/>
    <n v="0"/>
    <n v="0"/>
    <n v="2.6005001068115234"/>
    <n v="0"/>
    <n v="0"/>
    <n v="0"/>
    <s v=""/>
    <n v="0"/>
    <s v=""/>
    <n v="189"/>
    <n v="0"/>
    <n v="189"/>
    <x v="6"/>
    <n v="189"/>
    <n v="15.120000000000001"/>
    <n v="204.12"/>
    <n v="0"/>
    <n v="36.741599999999998"/>
    <n v="240.86160000000001"/>
    <s v="MR ROMJAN ALI"/>
    <s v="38539066865"/>
    <s v="SBIN0002065"/>
    <s v="STATE BANK OF INDIA"/>
    <d v="2025-05-05T00:00:00"/>
    <d v="2025-05-08T08:32:00"/>
  </r>
  <r>
    <n v="2025"/>
    <n v="5"/>
    <n v="1"/>
    <n v="784832"/>
    <s v="MANJURULLAHKHAN ELERIDE"/>
    <s v="TPL CEE"/>
    <s v="NEV"/>
    <s v="PUNE"/>
    <x v="0"/>
    <s v="Service Fees"/>
    <s v="INTEGRATED"/>
    <s v="ELERIDE MOBILITY SOLUTIONS PVT LTD"/>
    <s v="BIKE"/>
    <s v="INTEGRATED-IBBN-RC-008582-15"/>
    <s v="7 DAYS"/>
    <n v="30"/>
    <n v="4"/>
    <n v="0"/>
    <n v="30"/>
    <n v="0"/>
    <n v="30"/>
    <n v="3"/>
    <n v="0"/>
    <n v="129.49000549316406"/>
    <n v="120"/>
    <n v="0"/>
    <n v="1020"/>
    <n v="0"/>
    <n v="0"/>
    <n v="0"/>
    <n v="0"/>
    <n v="252"/>
    <n v="0"/>
    <n v="0"/>
    <n v="0"/>
    <n v="0"/>
    <n v="0"/>
    <n v="0"/>
    <n v="0"/>
    <n v="15.908110618591309"/>
    <n v="0"/>
    <n v="0"/>
    <n v="0"/>
    <s v=""/>
    <n v="0"/>
    <s v=""/>
    <n v="1272"/>
    <n v="252"/>
    <n v="1272"/>
    <x v="7"/>
    <n v="1272"/>
    <n v="81.600000000000009"/>
    <n v="1353.6"/>
    <n v="0"/>
    <n v="243.64799999999997"/>
    <n v="1597.2479999999998"/>
    <s v="MANJUR ULLAH KHAN"/>
    <s v="924010043095487"/>
    <s v="UTIB0000168"/>
    <s v="AXIS BANK"/>
    <d v="2025-05-05T00:00:00"/>
    <d v="2025-05-08T08:32:00"/>
  </r>
  <r>
    <n v="2025"/>
    <n v="5"/>
    <n v="1"/>
    <n v="744645"/>
    <s v="ELERIDESUNILDATTATRAY0RAUT"/>
    <s v="TPL CEE"/>
    <s v="EV"/>
    <s v="PUNE"/>
    <x v="0"/>
    <s v="Service Fees"/>
    <s v="INTEGRATED"/>
    <s v="ELERIDE MOBILITY SOLUTIONS PVT LTD"/>
    <s v="BIKE"/>
    <s v="INTEGRATED-IBBN-RC-008583-14"/>
    <s v="7 DAYS"/>
    <n v="122"/>
    <n v="2"/>
    <n v="0"/>
    <n v="105"/>
    <n v="17"/>
    <n v="122"/>
    <n v="6"/>
    <n v="0"/>
    <n v="523.54998779296875"/>
    <n v="54"/>
    <n v="0"/>
    <n v="3348"/>
    <n v="0"/>
    <n v="0"/>
    <n v="0"/>
    <n v="0"/>
    <n v="1692"/>
    <n v="0"/>
    <n v="0"/>
    <n v="30"/>
    <n v="54"/>
    <n v="0"/>
    <n v="250"/>
    <n v="0"/>
    <n v="44.952056884765625"/>
    <n v="300"/>
    <n v="3"/>
    <n v="0"/>
    <s v=""/>
    <n v="0"/>
    <s v=""/>
    <n v="5374"/>
    <n v="2026"/>
    <n v="5674"/>
    <x v="8"/>
    <n v="5674"/>
    <n v="267.84000000000003"/>
    <n v="5941.84"/>
    <n v="0"/>
    <n v="1069.5311999999999"/>
    <n v="7011.3711999999996"/>
    <m/>
    <m/>
    <m/>
    <m/>
    <m/>
    <d v="2025-05-08T08:32:00"/>
  </r>
  <r>
    <n v="2025"/>
    <n v="5"/>
    <n v="1"/>
    <n v="756144"/>
    <s v="SACHIN NAYASE7350987782"/>
    <s v="TPL CEE"/>
    <s v="NEV"/>
    <s v="PUNE"/>
    <x v="4"/>
    <s v="Service Fees"/>
    <s v="INTEGRATED"/>
    <s v="ELERIDE MOBILITY SOLUTIONS PVT LTD"/>
    <s v="BIKE"/>
    <s v="INTEGRATED-IBBN-RC-009587-11"/>
    <s v="7 DAYS"/>
    <n v="202"/>
    <n v="2"/>
    <n v="0"/>
    <n v="144"/>
    <n v="58"/>
    <n v="202"/>
    <n v="7"/>
    <n v="0"/>
    <n v="743.78997802734375"/>
    <n v="60"/>
    <n v="0"/>
    <n v="6120"/>
    <n v="0"/>
    <n v="980"/>
    <n v="0"/>
    <n v="421.1400146484375"/>
    <n v="3396"/>
    <n v="0"/>
    <n v="0"/>
    <n v="30"/>
    <n v="174"/>
    <n v="0"/>
    <n v="800"/>
    <n v="0"/>
    <n v="60.525920867919922"/>
    <n v="0"/>
    <n v="0"/>
    <n v="0"/>
    <s v=""/>
    <n v="0"/>
    <s v=""/>
    <n v="11921.1396484375"/>
    <n v="5801.14013671875"/>
    <n v="11921.1396484375"/>
    <x v="9"/>
    <n v="11921.1396484375"/>
    <n v="489.6"/>
    <n v="12410.7396484375"/>
    <n v="0"/>
    <n v="2233.9331367187501"/>
    <n v="14644.67278515625"/>
    <m/>
    <m/>
    <m/>
    <m/>
    <m/>
    <d v="2025-05-08T08:32:00"/>
  </r>
  <r>
    <n v="2025"/>
    <n v="5"/>
    <n v="1"/>
    <n v="756418"/>
    <s v="SHUBHAM NANDU SATHEELERD"/>
    <s v="TPL CEE"/>
    <s v="NEV"/>
    <s v="PUNE"/>
    <x v="5"/>
    <s v="Service Fees"/>
    <s v="INTEGRATED"/>
    <s v="ELERIDE MOBILITY SOLUTIONS PVT LTD"/>
    <s v="BIKE"/>
    <s v="INTEGRATED-IBBN-RC-009637-13"/>
    <s v="7 DAYS"/>
    <n v="68"/>
    <n v="0"/>
    <n v="0"/>
    <n v="50"/>
    <n v="18"/>
    <n v="68"/>
    <n v="5"/>
    <n v="0"/>
    <n v="256.22000122070312"/>
    <n v="0"/>
    <n v="0"/>
    <n v="2040"/>
    <n v="0"/>
    <n v="0"/>
    <n v="0"/>
    <n v="0"/>
    <n v="754"/>
    <n v="0"/>
    <n v="0"/>
    <n v="0"/>
    <n v="54"/>
    <n v="0"/>
    <n v="0"/>
    <n v="0"/>
    <n v="28.757266998291016"/>
    <n v="0"/>
    <n v="0"/>
    <n v="0"/>
    <s v=""/>
    <n v="300"/>
    <s v="PENALTY - LATE REPORTING"/>
    <n v="2848"/>
    <n v="808"/>
    <n v="2848"/>
    <x v="10"/>
    <n v="2548"/>
    <n v="163.20000000000002"/>
    <n v="2711.2"/>
    <n v="0"/>
    <n v="488.01599999999996"/>
    <n v="3199.2159999999999"/>
    <m/>
    <m/>
    <m/>
    <m/>
    <m/>
    <d v="2025-05-08T08:32:00"/>
  </r>
  <r>
    <n v="2025"/>
    <n v="5"/>
    <n v="1"/>
    <n v="784269"/>
    <s v="SALIMSAYYAD ELERIDE MOBILITY"/>
    <s v="TPL CEE"/>
    <s v="NEV"/>
    <s v="PUNE"/>
    <x v="6"/>
    <s v="Service Fees"/>
    <s v="INTEGRATED"/>
    <s v="ELERIDE MOBILITY SOLUTIONS PVT LTD"/>
    <s v="BIKE"/>
    <s v="INTEGRATED-IBBN-RC-010614-8"/>
    <s v="7 DAYS"/>
    <n v="10"/>
    <n v="0"/>
    <n v="0"/>
    <n v="0"/>
    <n v="10"/>
    <n v="10"/>
    <n v="1"/>
    <n v="0"/>
    <n v="43.630001068115234"/>
    <n v="0"/>
    <n v="0"/>
    <n v="300"/>
    <n v="0"/>
    <n v="0"/>
    <n v="0"/>
    <n v="29.879999160766602"/>
    <n v="0"/>
    <n v="0"/>
    <n v="0"/>
    <n v="0"/>
    <n v="30"/>
    <n v="0"/>
    <n v="0"/>
    <n v="0"/>
    <n v="4.8008890151977539"/>
    <n v="0"/>
    <n v="0"/>
    <n v="0"/>
    <s v=""/>
    <n v="0"/>
    <s v=""/>
    <n v="359.8800048828125"/>
    <n v="59.880001068115234"/>
    <n v="359.8800048828125"/>
    <x v="11"/>
    <n v="359.8800048828125"/>
    <n v="24"/>
    <n v="383.8800048828125"/>
    <n v="0"/>
    <n v="69.098400878906247"/>
    <n v="452.97840576171876"/>
    <s v="SALIM MAHEBOOB SAYYAD"/>
    <s v="065318210007925"/>
    <s v="BKID0000653"/>
    <s v="BANK OF INDIA"/>
    <d v="2025-05-03T00:00:00"/>
    <d v="2025-05-08T08:32:00"/>
  </r>
  <r>
    <n v="2025"/>
    <n v="5"/>
    <n v="1"/>
    <n v="763173"/>
    <s v="ADESH KUMAR RAWATELERIDE"/>
    <s v="TPL CEE"/>
    <s v="EV"/>
    <s v="PUNE"/>
    <x v="7"/>
    <s v="Service Fees"/>
    <s v="INTEGRATED"/>
    <s v="ELERIDE MOBILITY SOLUTIONS PVT LTD"/>
    <s v="BIKE"/>
    <s v="INTEGRATED-IBBN-RC-011702-4"/>
    <s v="7 DAYS"/>
    <n v="265"/>
    <n v="9"/>
    <n v="0"/>
    <n v="187"/>
    <n v="78"/>
    <n v="265"/>
    <n v="7"/>
    <n v="0"/>
    <n v="901.94000244140625"/>
    <n v="243"/>
    <n v="0"/>
    <n v="7398"/>
    <n v="0"/>
    <n v="4480"/>
    <n v="0"/>
    <n v="0"/>
    <n v="4644"/>
    <n v="0"/>
    <n v="0"/>
    <n v="0"/>
    <n v="237"/>
    <n v="0"/>
    <n v="800"/>
    <n v="0"/>
    <n v="63"/>
    <n v="0"/>
    <n v="0"/>
    <n v="1400"/>
    <s v="NIGHT SHIFT MG"/>
    <n v="65"/>
    <s v="IBND DEDUCTION"/>
    <n v="17559"/>
    <n v="10161"/>
    <n v="17559"/>
    <x v="12"/>
    <n v="18894"/>
    <n v="591.84"/>
    <n v="19485.84"/>
    <n v="0"/>
    <n v="3507.4512"/>
    <n v="22993.2912"/>
    <m/>
    <m/>
    <m/>
    <m/>
    <m/>
    <d v="2025-05-08T08:32:00"/>
  </r>
  <r>
    <n v="2025"/>
    <n v="5"/>
    <n v="1"/>
    <n v="738700"/>
    <s v="ELERIDEAMAN JADHAV"/>
    <s v="TPL CEE"/>
    <s v="NEV"/>
    <s v="PUNE"/>
    <x v="1"/>
    <s v="Service Fees"/>
    <s v="INTEGRATED"/>
    <s v="ELERIDE MOBILITY SOLUTIONS PVT LTD"/>
    <s v="BIKE"/>
    <s v="INTEGRATED-IBBN-RC-009659-8"/>
    <s v="7 DAYS"/>
    <n v="99"/>
    <n v="5"/>
    <n v="0"/>
    <n v="36"/>
    <n v="63"/>
    <n v="99"/>
    <n v="5"/>
    <n v="0"/>
    <n v="488.72000122070313"/>
    <n v="150"/>
    <n v="0"/>
    <n v="3120"/>
    <n v="0"/>
    <n v="260"/>
    <n v="0"/>
    <n v="0"/>
    <n v="1492"/>
    <n v="0"/>
    <n v="0"/>
    <n v="0"/>
    <n v="201"/>
    <n v="0"/>
    <n v="0"/>
    <n v="0"/>
    <n v="33.044223785400391"/>
    <n v="0"/>
    <n v="0"/>
    <n v="0"/>
    <s v=""/>
    <n v="42.729999542236328"/>
    <s v="IBND DEDUCTION"/>
    <n v="5073"/>
    <n v="1953"/>
    <n v="5073"/>
    <x v="13"/>
    <n v="5030.27001953125"/>
    <n v="249.6"/>
    <n v="5279.8700195312504"/>
    <n v="0"/>
    <n v="950.37660351562499"/>
    <n v="6230.2466230468754"/>
    <m/>
    <m/>
    <m/>
    <m/>
    <d v="2024-12-19T00:00:00"/>
    <d v="2025-05-08T08:32:00"/>
  </r>
  <r>
    <n v="2025"/>
    <n v="5"/>
    <n v="1"/>
    <n v="754658"/>
    <s v="LATIF SHAIKHELRD BREAK"/>
    <s v="TPL CEE"/>
    <s v="EV"/>
    <s v="PUNE"/>
    <x v="7"/>
    <s v="Service Fees"/>
    <s v="INTEGRATED"/>
    <s v="ELERIDE MOBILITY SOLUTIONS PVT LTD"/>
    <s v="BIKE"/>
    <s v="INTEGRATED-IBBN-RC-011702-4"/>
    <s v="7 DAYS"/>
    <n v="13"/>
    <n v="0"/>
    <n v="0"/>
    <n v="13"/>
    <n v="0"/>
    <n v="13"/>
    <n v="1"/>
    <n v="0"/>
    <n v="49.279998779296875"/>
    <n v="0"/>
    <n v="0"/>
    <n v="351"/>
    <n v="0"/>
    <n v="0"/>
    <n v="0"/>
    <n v="0"/>
    <n v="65"/>
    <n v="0"/>
    <n v="0"/>
    <n v="0"/>
    <n v="0"/>
    <n v="0"/>
    <n v="0"/>
    <n v="0"/>
    <n v="4.4293889999389648"/>
    <n v="0"/>
    <n v="0"/>
    <n v="0"/>
    <s v=""/>
    <n v="0"/>
    <s v=""/>
    <n v="416"/>
    <n v="65"/>
    <n v="416"/>
    <x v="14"/>
    <n v="416"/>
    <n v="28.080000000000002"/>
    <n v="444.08"/>
    <n v="0"/>
    <n v="79.934399999999997"/>
    <n v="524.01440000000002"/>
    <m/>
    <m/>
    <m/>
    <m/>
    <m/>
    <d v="2025-05-08T08:32:00"/>
  </r>
  <r>
    <n v="2025"/>
    <n v="5"/>
    <n v="1"/>
    <n v="735193"/>
    <s v="ELERIDEFIRSTDHAMMPAL AVHAD"/>
    <s v="TPL CEE"/>
    <s v="EV"/>
    <s v="PUNE"/>
    <x v="0"/>
    <s v="Service Fees"/>
    <s v="INTEGRATED"/>
    <s v="ELERIDE MOBILITY SOLUTIONS PVT LTD"/>
    <s v="BIKE"/>
    <s v="INTEGRATED-IBBN-RC-008583-14"/>
    <s v="7 DAYS"/>
    <n v="147"/>
    <n v="1"/>
    <n v="0"/>
    <n v="100"/>
    <n v="47"/>
    <n v="147"/>
    <n v="7"/>
    <n v="0"/>
    <n v="611.66998291015625"/>
    <n v="27"/>
    <n v="0"/>
    <n v="3996"/>
    <n v="0"/>
    <n v="50"/>
    <n v="0"/>
    <n v="0"/>
    <n v="1968"/>
    <n v="0"/>
    <n v="0"/>
    <n v="30"/>
    <n v="141"/>
    <n v="0"/>
    <n v="250"/>
    <n v="0"/>
    <n v="52.970233917236328"/>
    <n v="500"/>
    <n v="5"/>
    <n v="0"/>
    <s v=""/>
    <n v="0"/>
    <s v=""/>
    <n v="6435"/>
    <n v="2439"/>
    <n v="6935"/>
    <x v="15"/>
    <n v="6935"/>
    <n v="319.68"/>
    <n v="7254.68"/>
    <n v="0"/>
    <n v="1305.8424"/>
    <n v="8560.5223999999998"/>
    <m/>
    <m/>
    <m/>
    <m/>
    <m/>
    <d v="2025-05-08T08:32:00"/>
  </r>
  <r>
    <n v="2025"/>
    <n v="5"/>
    <n v="1"/>
    <n v="739199"/>
    <s v="SURENDRA MOHITEELERIDE"/>
    <s v="TPL CEE"/>
    <s v="EV"/>
    <s v="PUNE"/>
    <x v="8"/>
    <s v="Service Fees"/>
    <s v="INTEGRATED"/>
    <s v="ELERIDE MOBILITY SOLUTIONS PVT LTD"/>
    <s v="BIKE"/>
    <s v="INTEGRATED-IBBN-RC-009004-17"/>
    <s v="7 DAYS"/>
    <n v="89"/>
    <n v="3"/>
    <n v="0"/>
    <n v="60"/>
    <n v="29"/>
    <n v="89"/>
    <n v="5"/>
    <n v="0"/>
    <n v="292"/>
    <n v="81"/>
    <n v="0"/>
    <n v="2484"/>
    <n v="0"/>
    <n v="155"/>
    <n v="0"/>
    <n v="108.25"/>
    <n v="991"/>
    <n v="0"/>
    <n v="0"/>
    <n v="0"/>
    <n v="90"/>
    <n v="0"/>
    <n v="0"/>
    <n v="0"/>
    <n v="36.962055206298828"/>
    <n v="200"/>
    <n v="2"/>
    <n v="0"/>
    <s v=""/>
    <n v="0"/>
    <s v=""/>
    <n v="3828.25"/>
    <n v="1344.25"/>
    <n v="4028.25"/>
    <x v="16"/>
    <n v="4028.25"/>
    <n v="198.72"/>
    <n v="4226.97"/>
    <n v="0"/>
    <n v="760.8546"/>
    <n v="4987.8245999999999"/>
    <m/>
    <m/>
    <m/>
    <m/>
    <m/>
    <d v="2025-05-08T08:32:00"/>
  </r>
  <r>
    <n v="2025"/>
    <n v="5"/>
    <n v="1"/>
    <n v="784862"/>
    <s v="YOGESHGANACHARYA"/>
    <s v="TPL CEE"/>
    <s v="LSV"/>
    <s v="PUNE"/>
    <x v="0"/>
    <s v="Service Fees"/>
    <s v="INTEGRATED"/>
    <s v="ELERIDE MOBILITY SOLUTIONS PVT LTD"/>
    <s v="BIKE"/>
    <s v="INTEGRATED-IBBN-RC-008583-14"/>
    <s v="7 DAYS"/>
    <n v="9"/>
    <n v="1"/>
    <n v="0"/>
    <n v="9"/>
    <n v="0"/>
    <n v="9"/>
    <n v="2"/>
    <n v="0"/>
    <n v="53.909999847412109"/>
    <n v="27"/>
    <n v="0"/>
    <n v="270"/>
    <n v="0"/>
    <n v="0"/>
    <n v="0"/>
    <n v="0"/>
    <n v="0"/>
    <n v="0"/>
    <n v="0"/>
    <n v="0"/>
    <n v="0"/>
    <n v="0"/>
    <n v="0"/>
    <n v="0"/>
    <n v="6.3400554656982422"/>
    <n v="0"/>
    <n v="0"/>
    <n v="0"/>
    <s v=""/>
    <n v="0"/>
    <s v=""/>
    <n v="270"/>
    <n v="0"/>
    <n v="270"/>
    <x v="17"/>
    <n v="270"/>
    <n v="21.6"/>
    <n v="291.60000000000002"/>
    <n v="0"/>
    <n v="52.488"/>
    <n v="344.08800000000002"/>
    <s v="YOGESH SHIBIR GANACHARYA"/>
    <s v="110080759906"/>
    <s v="CNRB0000264"/>
    <s v="CANARA BANK"/>
    <d v="2025-05-05T00:00:00"/>
    <d v="2025-05-08T08:32:00"/>
  </r>
  <r>
    <n v="2025"/>
    <n v="5"/>
    <n v="1"/>
    <n v="754583"/>
    <s v="DATTA JADHAVELRD BREAK"/>
    <s v="TPL CEE"/>
    <s v="EV"/>
    <s v="PUNE"/>
    <x v="0"/>
    <s v="Service Fees"/>
    <s v="INTEGRATED"/>
    <s v="ELERIDE MOBILITY SOLUTIONS PVT LTD"/>
    <s v="BIKE"/>
    <s v="INTEGRATED-IBBN-RC-008583-14"/>
    <s v="7 DAYS"/>
    <n v="143"/>
    <n v="2"/>
    <n v="0"/>
    <n v="96"/>
    <n v="47"/>
    <n v="143"/>
    <n v="7"/>
    <n v="0"/>
    <n v="581.20001220703125"/>
    <n v="54"/>
    <n v="0"/>
    <n v="3915"/>
    <n v="0"/>
    <n v="0"/>
    <n v="0"/>
    <n v="0"/>
    <n v="2028"/>
    <n v="0"/>
    <n v="0"/>
    <n v="0"/>
    <n v="141"/>
    <n v="0"/>
    <n v="250"/>
    <n v="0"/>
    <n v="49.839488983154297"/>
    <n v="500"/>
    <n v="5"/>
    <n v="0"/>
    <s v=""/>
    <n v="0"/>
    <s v=""/>
    <n v="6334"/>
    <n v="2419"/>
    <n v="6834"/>
    <x v="18"/>
    <n v="6834"/>
    <n v="313.2"/>
    <n v="7147.2"/>
    <n v="0"/>
    <n v="1286.4959999999999"/>
    <n v="8433.6959999999999"/>
    <m/>
    <m/>
    <m/>
    <m/>
    <m/>
    <d v="2025-05-08T08:32:00"/>
  </r>
  <r>
    <n v="2025"/>
    <n v="5"/>
    <n v="1"/>
    <n v="741275"/>
    <s v="NIKHIL RAJU GUPTELERIDE BREAK"/>
    <s v="TPL CEE"/>
    <s v="NEV"/>
    <s v="PUNE"/>
    <x v="9"/>
    <s v="Service Fees"/>
    <s v="INTEGRATED"/>
    <s v="ELERIDE MOBILITY SOLUTIONS PVT LTD"/>
    <s v="BIKE"/>
    <s v="INTEGRATED-IBBN-RC-009931-10"/>
    <s v="7 DAYS"/>
    <n v="141"/>
    <n v="1"/>
    <n v="0"/>
    <n v="95"/>
    <n v="46"/>
    <n v="141"/>
    <n v="6"/>
    <n v="0"/>
    <n v="680.42999267578125"/>
    <n v="30"/>
    <n v="0"/>
    <n v="4260"/>
    <n v="0"/>
    <n v="1410"/>
    <n v="0"/>
    <n v="328.95001220703125"/>
    <n v="2380"/>
    <n v="0"/>
    <n v="0"/>
    <n v="60"/>
    <n v="138"/>
    <n v="0"/>
    <n v="250"/>
    <n v="0"/>
    <n v="45.464168548583984"/>
    <n v="500"/>
    <n v="5"/>
    <n v="1000"/>
    <s v="MINIMUM GUARANTEE - HOURLY BASIS"/>
    <n v="70"/>
    <s v="IBND DEDUCTION, INCORRECT ORDER ACKNOWLEDGEMENT PROCESS DEVIATION"/>
    <n v="8826.9501953125"/>
    <n v="4566.9501953125"/>
    <n v="9326.9501953125"/>
    <x v="19"/>
    <n v="10256.9501953125"/>
    <n v="340.8"/>
    <n v="10597.750195312499"/>
    <n v="0"/>
    <n v="1907.5950351562499"/>
    <n v="12505.345230468749"/>
    <m/>
    <m/>
    <m/>
    <m/>
    <m/>
    <d v="2025-05-08T08:32:00"/>
  </r>
  <r>
    <n v="2025"/>
    <n v="5"/>
    <n v="1"/>
    <n v="757911"/>
    <s v="ROHAN SUDHKAR CHAVANELRD  BREAK"/>
    <s v="TPL CEE"/>
    <s v="EV"/>
    <s v="PUNE"/>
    <x v="7"/>
    <s v="Service Fees"/>
    <s v="INTEGRATED"/>
    <s v="ELERIDE MOBILITY SOLUTIONS PVT LTD"/>
    <s v="BIKE"/>
    <s v="INTEGRATED-IBBN-RC-011702-4"/>
    <s v="7 DAYS"/>
    <n v="219"/>
    <n v="0"/>
    <n v="0"/>
    <n v="151"/>
    <n v="68"/>
    <n v="219"/>
    <n v="7"/>
    <n v="0"/>
    <n v="749.97998046875"/>
    <n v="0"/>
    <n v="0"/>
    <n v="5913"/>
    <n v="0"/>
    <n v="70"/>
    <n v="0"/>
    <n v="0"/>
    <n v="3777"/>
    <n v="0"/>
    <n v="0"/>
    <n v="0"/>
    <n v="204"/>
    <n v="0"/>
    <n v="800"/>
    <n v="0"/>
    <n v="63"/>
    <n v="0"/>
    <n v="0"/>
    <n v="0"/>
    <s v=""/>
    <n v="357"/>
    <s v="IBND DEDUCTION"/>
    <n v="10764"/>
    <n v="4851"/>
    <n v="10764"/>
    <x v="20"/>
    <n v="10407"/>
    <n v="473.04"/>
    <n v="10880.04"/>
    <n v="0"/>
    <n v="1958.4072000000001"/>
    <n v="12838.447200000001"/>
    <m/>
    <m/>
    <m/>
    <m/>
    <m/>
    <d v="2025-05-08T08:32:00"/>
  </r>
  <r>
    <n v="2025"/>
    <n v="5"/>
    <n v="1"/>
    <n v="782412"/>
    <s v="ANILSANDIMANI"/>
    <s v="TPL CEE"/>
    <s v="NEV"/>
    <s v="PUNE"/>
    <x v="7"/>
    <s v="Service Fees"/>
    <s v="INTEGRATED"/>
    <s v="ELERIDE MOBILITY SOLUTIONS PVT LTD"/>
    <s v="BIKE"/>
    <s v="INTEGRATED-IBBN-RC-011703-4"/>
    <s v="7 DAYS"/>
    <n v="21"/>
    <n v="0"/>
    <n v="0"/>
    <n v="21"/>
    <n v="0"/>
    <n v="21"/>
    <n v="2"/>
    <n v="0"/>
    <n v="73.5"/>
    <n v="0"/>
    <n v="0"/>
    <n v="630"/>
    <n v="0"/>
    <n v="0"/>
    <n v="0"/>
    <n v="0"/>
    <n v="240"/>
    <n v="0"/>
    <n v="0"/>
    <n v="0"/>
    <n v="0"/>
    <n v="0"/>
    <n v="0"/>
    <n v="0"/>
    <n v="7.2666668891906738"/>
    <n v="0"/>
    <n v="0"/>
    <n v="0"/>
    <s v=""/>
    <n v="0"/>
    <s v=""/>
    <n v="870"/>
    <n v="240"/>
    <n v="870"/>
    <x v="21"/>
    <n v="870"/>
    <n v="50.4"/>
    <n v="920.4"/>
    <n v="0"/>
    <n v="165.672"/>
    <n v="1086.0719999999999"/>
    <s v="MR. ANIL G SUNDIMANI"/>
    <s v="33601468213"/>
    <s v="SBIN0001019"/>
    <s v="STATE BANK OF INDIA"/>
    <d v="2025-04-29T00:00:00"/>
    <d v="2025-05-08T08:32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E14" firstHeaderRow="0" firstDataRow="1" firstDataCol="1"/>
  <pivotFields count="62"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axis="axisRow" showAll="0">
      <items count="11">
        <item x="0"/>
        <item x="1"/>
        <item x="9"/>
        <item x="2"/>
        <item x="7"/>
        <item x="5"/>
        <item x="6"/>
        <item x="3"/>
        <item x="8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numFmtId="165" showAll="0"/>
    <pivotField dataField="1" numFmtId="165" showAll="0"/>
    <pivotField numFmtId="164" showAll="0"/>
    <pivotField numFmtId="165" showAll="0"/>
    <pivotField numFmtId="164" showAll="0"/>
    <pivotField showAll="0"/>
    <pivotField showAll="0"/>
    <pivotField showAll="0"/>
    <pivotField showAll="0"/>
    <pivotField showAll="0"/>
    <pivotField numFmtId="166" showAll="0"/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delivered_orders" fld="15" baseField="8" baseItem="0"/>
    <dataField name="Sum of total_with_arrears_and_deductions" fld="50" baseField="0" baseItem="0"/>
    <dataField name="Sum of management_fee" fld="51" baseField="0" baseItem="0"/>
    <dataField name="Sum of total_with_management_fee" fld="5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29"/>
  <sheetViews>
    <sheetView tabSelected="1" topLeftCell="B14" workbookViewId="0">
      <selection activeCell="G19" sqref="G19:I28"/>
    </sheetView>
  </sheetViews>
  <sheetFormatPr defaultRowHeight="14.25"/>
  <cols>
    <col min="1" max="1" width="27" customWidth="1"/>
    <col min="2" max="2" width="23.25" customWidth="1"/>
    <col min="3" max="3" width="39.375" customWidth="1"/>
    <col min="4" max="4" width="23" customWidth="1"/>
    <col min="5" max="5" width="32.75" bestFit="1" customWidth="1"/>
  </cols>
  <sheetData>
    <row r="3" spans="1:5">
      <c r="A3" s="29" t="s">
        <v>203</v>
      </c>
      <c r="B3" t="s">
        <v>205</v>
      </c>
      <c r="C3" t="s">
        <v>206</v>
      </c>
      <c r="D3" t="s">
        <v>207</v>
      </c>
      <c r="E3" t="s">
        <v>208</v>
      </c>
    </row>
    <row r="4" spans="1:5">
      <c r="A4" s="30" t="s">
        <v>66</v>
      </c>
      <c r="B4" s="31">
        <v>796</v>
      </c>
      <c r="C4" s="31">
        <v>37060</v>
      </c>
      <c r="D4" s="31">
        <v>1788.2400000000002</v>
      </c>
      <c r="E4" s="31">
        <v>38848.239999999998</v>
      </c>
    </row>
    <row r="5" spans="1:5">
      <c r="A5" s="30" t="s">
        <v>75</v>
      </c>
      <c r="B5" s="31">
        <v>113</v>
      </c>
      <c r="C5" s="31">
        <v>5433.27001953125</v>
      </c>
      <c r="D5" s="31">
        <v>279.83999999999997</v>
      </c>
      <c r="E5" s="31">
        <v>5713.1100195312501</v>
      </c>
    </row>
    <row r="6" spans="1:5">
      <c r="A6" s="30" t="s">
        <v>141</v>
      </c>
      <c r="B6" s="31">
        <v>141</v>
      </c>
      <c r="C6" s="31">
        <v>10256.9501953125</v>
      </c>
      <c r="D6" s="31">
        <v>340.8</v>
      </c>
      <c r="E6" s="31">
        <v>10597.750195312499</v>
      </c>
    </row>
    <row r="7" spans="1:5">
      <c r="A7" s="30" t="s">
        <v>80</v>
      </c>
      <c r="B7" s="31">
        <v>59</v>
      </c>
      <c r="C7" s="31">
        <v>3031</v>
      </c>
      <c r="D7" s="31">
        <v>144</v>
      </c>
      <c r="E7" s="31">
        <v>3175</v>
      </c>
    </row>
    <row r="8" spans="1:5">
      <c r="A8" s="30" t="s">
        <v>123</v>
      </c>
      <c r="B8" s="31">
        <v>518</v>
      </c>
      <c r="C8" s="31">
        <v>30587</v>
      </c>
      <c r="D8" s="31">
        <v>1143.3600000000001</v>
      </c>
      <c r="E8" s="31">
        <v>31730.360000000004</v>
      </c>
    </row>
    <row r="9" spans="1:5">
      <c r="A9" s="30" t="s">
        <v>112</v>
      </c>
      <c r="B9" s="31">
        <v>68</v>
      </c>
      <c r="C9" s="31">
        <v>2548</v>
      </c>
      <c r="D9" s="31">
        <v>163.20000000000002</v>
      </c>
      <c r="E9" s="31">
        <v>2711.2</v>
      </c>
    </row>
    <row r="10" spans="1:5">
      <c r="A10" s="30" t="s">
        <v>116</v>
      </c>
      <c r="B10" s="31">
        <v>10</v>
      </c>
      <c r="C10" s="31">
        <v>359.8800048828125</v>
      </c>
      <c r="D10" s="31">
        <v>24</v>
      </c>
      <c r="E10" s="31">
        <v>383.8800048828125</v>
      </c>
    </row>
    <row r="11" spans="1:5">
      <c r="A11" s="30" t="s">
        <v>89</v>
      </c>
      <c r="B11" s="31">
        <v>67</v>
      </c>
      <c r="C11" s="31">
        <v>2425.110107421875</v>
      </c>
      <c r="D11" s="31">
        <v>144.72</v>
      </c>
      <c r="E11" s="31">
        <v>2569.8301074218748</v>
      </c>
    </row>
    <row r="12" spans="1:5">
      <c r="A12" s="30" t="s">
        <v>132</v>
      </c>
      <c r="B12" s="31">
        <v>89</v>
      </c>
      <c r="C12" s="31">
        <v>4028.25</v>
      </c>
      <c r="D12" s="31">
        <v>198.72</v>
      </c>
      <c r="E12" s="31">
        <v>4226.97</v>
      </c>
    </row>
    <row r="13" spans="1:5">
      <c r="A13" s="30" t="s">
        <v>109</v>
      </c>
      <c r="B13" s="31">
        <v>202</v>
      </c>
      <c r="C13" s="31">
        <v>11921.1396484375</v>
      </c>
      <c r="D13" s="31">
        <v>489.6</v>
      </c>
      <c r="E13" s="31">
        <v>12410.7396484375</v>
      </c>
    </row>
    <row r="14" spans="1:5">
      <c r="A14" s="30" t="s">
        <v>204</v>
      </c>
      <c r="B14" s="31">
        <v>2063</v>
      </c>
      <c r="C14" s="31">
        <v>107650.59997558594</v>
      </c>
      <c r="D14" s="31">
        <v>4716.4800000000005</v>
      </c>
      <c r="E14" s="31">
        <v>112367.07997558595</v>
      </c>
    </row>
    <row r="18" spans="1:9">
      <c r="A18" t="s">
        <v>203</v>
      </c>
      <c r="B18" t="s">
        <v>205</v>
      </c>
      <c r="C18" t="s">
        <v>206</v>
      </c>
      <c r="D18" t="s">
        <v>207</v>
      </c>
      <c r="E18" t="s">
        <v>208</v>
      </c>
    </row>
    <row r="19" spans="1:9">
      <c r="A19" t="s">
        <v>66</v>
      </c>
      <c r="B19">
        <v>796</v>
      </c>
      <c r="C19" s="32">
        <v>37060</v>
      </c>
      <c r="D19" s="32">
        <v>1788.2400000000002</v>
      </c>
      <c r="E19" s="32">
        <v>38848.239999999998</v>
      </c>
      <c r="G19" s="33">
        <v>37060</v>
      </c>
      <c r="H19" s="33"/>
      <c r="I19" s="33"/>
    </row>
    <row r="20" spans="1:9">
      <c r="A20" t="s">
        <v>75</v>
      </c>
      <c r="B20">
        <v>113</v>
      </c>
      <c r="C20" s="32">
        <v>5433.27001953125</v>
      </c>
      <c r="D20" s="32">
        <v>279.83999999999997</v>
      </c>
      <c r="E20" s="32">
        <v>5713.1100195312501</v>
      </c>
      <c r="G20" s="33">
        <v>5433.27001953125</v>
      </c>
      <c r="H20" s="33"/>
      <c r="I20" s="33"/>
    </row>
    <row r="21" spans="1:9">
      <c r="A21" t="s">
        <v>141</v>
      </c>
      <c r="B21">
        <v>141</v>
      </c>
      <c r="C21" s="32">
        <v>10256.9501953125</v>
      </c>
      <c r="D21" s="32">
        <v>340.8</v>
      </c>
      <c r="E21" s="32">
        <v>10597.750195312499</v>
      </c>
      <c r="G21" s="33">
        <v>10256.9501953125</v>
      </c>
      <c r="H21" s="33"/>
      <c r="I21" s="33"/>
    </row>
    <row r="22" spans="1:9">
      <c r="A22" t="s">
        <v>80</v>
      </c>
      <c r="B22">
        <v>59</v>
      </c>
      <c r="C22" s="32">
        <v>3031</v>
      </c>
      <c r="D22" s="32">
        <v>144</v>
      </c>
      <c r="E22" s="32">
        <v>3175</v>
      </c>
      <c r="G22" s="33">
        <v>3031</v>
      </c>
      <c r="H22" s="33"/>
      <c r="I22" s="33"/>
    </row>
    <row r="23" spans="1:9">
      <c r="A23" t="s">
        <v>123</v>
      </c>
      <c r="B23">
        <v>518</v>
      </c>
      <c r="C23" s="32">
        <v>30587</v>
      </c>
      <c r="D23" s="32">
        <v>1143.3600000000001</v>
      </c>
      <c r="E23" s="32">
        <v>31730.360000000004</v>
      </c>
      <c r="G23" s="33">
        <v>30587</v>
      </c>
      <c r="H23" s="33"/>
      <c r="I23" s="33"/>
    </row>
    <row r="24" spans="1:9">
      <c r="A24" t="s">
        <v>112</v>
      </c>
      <c r="B24">
        <v>68</v>
      </c>
      <c r="C24" s="32">
        <v>2548</v>
      </c>
      <c r="D24" s="32">
        <v>163.20000000000002</v>
      </c>
      <c r="E24" s="32">
        <v>2711.2</v>
      </c>
      <c r="G24" s="33">
        <v>2548</v>
      </c>
      <c r="H24" s="33"/>
      <c r="I24" s="33"/>
    </row>
    <row r="25" spans="1:9">
      <c r="A25" t="s">
        <v>116</v>
      </c>
      <c r="B25">
        <v>10</v>
      </c>
      <c r="C25" s="32">
        <v>359.8800048828125</v>
      </c>
      <c r="D25" s="32">
        <v>24</v>
      </c>
      <c r="E25" s="32">
        <v>383.8800048828125</v>
      </c>
      <c r="G25" s="33">
        <v>359.8800048828125</v>
      </c>
      <c r="H25" s="33"/>
      <c r="I25" s="33"/>
    </row>
    <row r="26" spans="1:9">
      <c r="A26" t="s">
        <v>89</v>
      </c>
      <c r="B26">
        <v>67</v>
      </c>
      <c r="C26" s="32">
        <v>2425.110107421875</v>
      </c>
      <c r="D26" s="32">
        <v>144.72</v>
      </c>
      <c r="E26" s="32">
        <v>2569.8301074218748</v>
      </c>
      <c r="G26" s="33">
        <v>2425.110107421875</v>
      </c>
      <c r="H26" s="33"/>
      <c r="I26" s="33"/>
    </row>
    <row r="27" spans="1:9">
      <c r="A27" t="s">
        <v>132</v>
      </c>
      <c r="B27">
        <v>89</v>
      </c>
      <c r="C27" s="32">
        <v>4028.25</v>
      </c>
      <c r="D27" s="32">
        <v>198.72</v>
      </c>
      <c r="E27" s="32">
        <v>4226.97</v>
      </c>
      <c r="G27" s="33">
        <v>4028.25</v>
      </c>
      <c r="H27" s="33"/>
      <c r="I27" s="33"/>
    </row>
    <row r="28" spans="1:9">
      <c r="A28" t="s">
        <v>109</v>
      </c>
      <c r="B28">
        <v>202</v>
      </c>
      <c r="C28" s="32">
        <v>11921.1396484375</v>
      </c>
      <c r="D28" s="32">
        <v>489.6</v>
      </c>
      <c r="E28" s="32">
        <v>12410.7396484375</v>
      </c>
      <c r="G28" s="33">
        <v>11921.1396484375</v>
      </c>
      <c r="H28" s="33"/>
      <c r="I28" s="33"/>
    </row>
    <row r="29" spans="1:9">
      <c r="A29" t="s">
        <v>204</v>
      </c>
      <c r="B29">
        <v>2063</v>
      </c>
      <c r="C29">
        <v>107650.59997558594</v>
      </c>
      <c r="D29" s="32">
        <v>4716.4800000000005</v>
      </c>
      <c r="E29" s="32">
        <v>112367.07997558595</v>
      </c>
    </row>
  </sheetData>
  <mergeCells count="10">
    <mergeCell ref="G25:I25"/>
    <mergeCell ref="G26:I26"/>
    <mergeCell ref="G27:I27"/>
    <mergeCell ref="G28:I28"/>
    <mergeCell ref="G19:I19"/>
    <mergeCell ref="G20:I20"/>
    <mergeCell ref="G21:I21"/>
    <mergeCell ref="G22:I22"/>
    <mergeCell ref="G23:I23"/>
    <mergeCell ref="G24:I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23"/>
  <sheetViews>
    <sheetView workbookViewId="0"/>
  </sheetViews>
  <sheetFormatPr defaultRowHeight="14.25"/>
  <cols>
    <col min="5" max="5" width="39.125" bestFit="1" customWidth="1"/>
    <col min="51" max="51" width="29.875" bestFit="1" customWidth="1"/>
  </cols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s="2">
        <v>2025</v>
      </c>
      <c r="B2" s="2">
        <v>5</v>
      </c>
      <c r="C2" s="2">
        <v>1</v>
      </c>
      <c r="D2" s="2">
        <v>753406</v>
      </c>
      <c r="E2" s="1" t="s">
        <v>62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67</v>
      </c>
      <c r="K2" s="1" t="s">
        <v>68</v>
      </c>
      <c r="L2" s="1" t="s">
        <v>69</v>
      </c>
      <c r="M2" s="1" t="s">
        <v>70</v>
      </c>
      <c r="N2" s="1" t="s">
        <v>71</v>
      </c>
      <c r="O2" s="1" t="s">
        <v>72</v>
      </c>
      <c r="P2" s="2">
        <v>55</v>
      </c>
      <c r="Q2" s="2">
        <v>1</v>
      </c>
      <c r="R2" s="2">
        <v>0</v>
      </c>
      <c r="S2" s="2">
        <v>42</v>
      </c>
      <c r="T2" s="2">
        <v>13</v>
      </c>
      <c r="U2" s="2">
        <v>55</v>
      </c>
      <c r="V2" s="2">
        <v>4</v>
      </c>
      <c r="W2" s="2">
        <v>0</v>
      </c>
      <c r="X2" s="3">
        <v>223.27000427246094</v>
      </c>
      <c r="Y2" s="2">
        <v>27</v>
      </c>
      <c r="Z2" s="2">
        <v>0</v>
      </c>
      <c r="AA2" s="2">
        <v>1512</v>
      </c>
      <c r="AB2" s="2">
        <v>0</v>
      </c>
      <c r="AC2" s="2">
        <v>0</v>
      </c>
      <c r="AD2" s="2">
        <v>0</v>
      </c>
      <c r="AE2" s="2">
        <v>0</v>
      </c>
      <c r="AF2" s="2">
        <v>559</v>
      </c>
      <c r="AG2" s="2">
        <v>0</v>
      </c>
      <c r="AH2" s="2">
        <v>0</v>
      </c>
      <c r="AI2" s="2">
        <v>0</v>
      </c>
      <c r="AJ2" s="2">
        <v>39</v>
      </c>
      <c r="AK2" s="2">
        <v>0</v>
      </c>
      <c r="AL2" s="2">
        <v>0</v>
      </c>
      <c r="AM2" s="2">
        <v>0</v>
      </c>
      <c r="AN2" s="3">
        <v>22.620143890380859</v>
      </c>
      <c r="AO2" s="2">
        <v>0</v>
      </c>
      <c r="AP2" s="2">
        <v>0</v>
      </c>
      <c r="AQ2" s="2">
        <v>0</v>
      </c>
      <c r="AR2" s="1" t="s">
        <v>73</v>
      </c>
      <c r="AS2" s="2">
        <v>0</v>
      </c>
      <c r="AT2" s="1" t="s">
        <v>73</v>
      </c>
      <c r="AU2" s="2">
        <v>2110</v>
      </c>
      <c r="AV2" s="2">
        <v>598</v>
      </c>
      <c r="AW2" s="2">
        <v>2110</v>
      </c>
      <c r="AX2" s="2">
        <v>2110</v>
      </c>
      <c r="AY2" s="2">
        <v>2110</v>
      </c>
      <c r="AZ2" s="3">
        <v>120.96000000000001</v>
      </c>
      <c r="BA2" s="3">
        <v>2230.96</v>
      </c>
      <c r="BB2" s="2">
        <v>0</v>
      </c>
      <c r="BC2" s="3">
        <v>401.57279999999997</v>
      </c>
      <c r="BD2" s="2">
        <v>2632.5328</v>
      </c>
      <c r="BE2" s="1"/>
      <c r="BF2" s="1"/>
      <c r="BG2" s="1"/>
      <c r="BH2" s="1"/>
      <c r="BI2" s="1"/>
      <c r="BJ2" s="4">
        <v>45785.355555555558</v>
      </c>
    </row>
    <row r="3" spans="1:62">
      <c r="A3" s="2">
        <v>2025</v>
      </c>
      <c r="B3" s="2">
        <v>5</v>
      </c>
      <c r="C3" s="2">
        <v>1</v>
      </c>
      <c r="D3" s="2">
        <v>739946</v>
      </c>
      <c r="E3" s="1" t="s">
        <v>74</v>
      </c>
      <c r="F3" s="1" t="s">
        <v>63</v>
      </c>
      <c r="G3" s="1" t="s">
        <v>64</v>
      </c>
      <c r="H3" s="1" t="s">
        <v>65</v>
      </c>
      <c r="I3" s="1" t="s">
        <v>75</v>
      </c>
      <c r="J3" s="1" t="s">
        <v>67</v>
      </c>
      <c r="K3" s="1" t="s">
        <v>68</v>
      </c>
      <c r="L3" s="1" t="s">
        <v>69</v>
      </c>
      <c r="M3" s="1" t="s">
        <v>70</v>
      </c>
      <c r="N3" s="1" t="s">
        <v>76</v>
      </c>
      <c r="O3" s="1" t="s">
        <v>72</v>
      </c>
      <c r="P3" s="2">
        <v>14</v>
      </c>
      <c r="Q3" s="2">
        <v>0</v>
      </c>
      <c r="R3" s="2">
        <v>0</v>
      </c>
      <c r="S3" s="2">
        <v>9</v>
      </c>
      <c r="T3" s="2">
        <v>5</v>
      </c>
      <c r="U3" s="2">
        <v>14</v>
      </c>
      <c r="V3" s="2">
        <v>3</v>
      </c>
      <c r="W3" s="2">
        <v>0</v>
      </c>
      <c r="X3" s="3">
        <v>71.709999084472656</v>
      </c>
      <c r="Y3" s="2">
        <v>0</v>
      </c>
      <c r="Z3" s="2">
        <v>0</v>
      </c>
      <c r="AA3" s="2">
        <v>378</v>
      </c>
      <c r="AB3" s="2">
        <v>0</v>
      </c>
      <c r="AC3" s="2">
        <v>10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15</v>
      </c>
      <c r="AK3" s="2">
        <v>0</v>
      </c>
      <c r="AL3" s="2">
        <v>0</v>
      </c>
      <c r="AM3" s="2">
        <v>0</v>
      </c>
      <c r="AN3" s="3">
        <v>7.7256999015808105</v>
      </c>
      <c r="AO3" s="2">
        <v>0</v>
      </c>
      <c r="AP3" s="2">
        <v>0</v>
      </c>
      <c r="AQ3" s="2">
        <v>0</v>
      </c>
      <c r="AR3" s="1" t="s">
        <v>73</v>
      </c>
      <c r="AS3" s="2">
        <v>0</v>
      </c>
      <c r="AT3" s="1" t="s">
        <v>73</v>
      </c>
      <c r="AU3" s="2">
        <v>403</v>
      </c>
      <c r="AV3" s="2">
        <v>25</v>
      </c>
      <c r="AW3" s="2">
        <v>403</v>
      </c>
      <c r="AX3" s="2">
        <v>403</v>
      </c>
      <c r="AY3" s="2">
        <v>403</v>
      </c>
      <c r="AZ3" s="3">
        <v>30.240000000000002</v>
      </c>
      <c r="BA3" s="3">
        <v>433.24</v>
      </c>
      <c r="BB3" s="2">
        <v>0</v>
      </c>
      <c r="BC3" s="3">
        <v>77.983199999999997</v>
      </c>
      <c r="BD3" s="2">
        <v>511.22320000000002</v>
      </c>
      <c r="BE3" s="1"/>
      <c r="BF3" s="1"/>
      <c r="BG3" s="1"/>
      <c r="BH3" s="1"/>
      <c r="BI3" s="1"/>
      <c r="BJ3" s="4">
        <v>45785.355555555558</v>
      </c>
    </row>
    <row r="4" spans="1:62">
      <c r="A4" s="2">
        <v>2025</v>
      </c>
      <c r="B4" s="2">
        <v>5</v>
      </c>
      <c r="C4" s="2">
        <v>1</v>
      </c>
      <c r="D4" s="2">
        <v>755539</v>
      </c>
      <c r="E4" s="1" t="s">
        <v>77</v>
      </c>
      <c r="F4" s="1" t="s">
        <v>63</v>
      </c>
      <c r="G4" s="1" t="s">
        <v>64</v>
      </c>
      <c r="H4" s="1" t="s">
        <v>65</v>
      </c>
      <c r="I4" s="1" t="s">
        <v>66</v>
      </c>
      <c r="J4" s="1" t="s">
        <v>67</v>
      </c>
      <c r="K4" s="1" t="s">
        <v>68</v>
      </c>
      <c r="L4" s="1" t="s">
        <v>69</v>
      </c>
      <c r="M4" s="1" t="s">
        <v>70</v>
      </c>
      <c r="N4" s="1" t="s">
        <v>71</v>
      </c>
      <c r="O4" s="1" t="s">
        <v>72</v>
      </c>
      <c r="P4" s="2">
        <v>159</v>
      </c>
      <c r="Q4" s="2">
        <v>0</v>
      </c>
      <c r="R4" s="2">
        <v>0</v>
      </c>
      <c r="S4" s="2">
        <v>107</v>
      </c>
      <c r="T4" s="2">
        <v>52</v>
      </c>
      <c r="U4" s="2">
        <v>159</v>
      </c>
      <c r="V4" s="2">
        <v>6</v>
      </c>
      <c r="W4" s="2">
        <v>0</v>
      </c>
      <c r="X4" s="3">
        <v>685.8699951171875</v>
      </c>
      <c r="Y4" s="2">
        <v>0</v>
      </c>
      <c r="Z4" s="2">
        <v>0</v>
      </c>
      <c r="AA4" s="2">
        <v>4293</v>
      </c>
      <c r="AB4" s="2">
        <v>0</v>
      </c>
      <c r="AC4" s="2">
        <v>0</v>
      </c>
      <c r="AD4" s="2">
        <v>0</v>
      </c>
      <c r="AE4" s="2">
        <v>0</v>
      </c>
      <c r="AF4" s="2">
        <v>2285</v>
      </c>
      <c r="AG4" s="2">
        <v>0</v>
      </c>
      <c r="AH4" s="2">
        <v>0</v>
      </c>
      <c r="AI4" s="2">
        <v>0</v>
      </c>
      <c r="AJ4" s="2">
        <v>156</v>
      </c>
      <c r="AK4" s="2">
        <v>0</v>
      </c>
      <c r="AL4" s="2">
        <v>250</v>
      </c>
      <c r="AM4" s="2">
        <v>0</v>
      </c>
      <c r="AN4" s="3">
        <v>53.309188842773438</v>
      </c>
      <c r="AO4" s="2">
        <v>600</v>
      </c>
      <c r="AP4" s="2">
        <v>6</v>
      </c>
      <c r="AQ4" s="2">
        <v>0</v>
      </c>
      <c r="AR4" s="1" t="s">
        <v>73</v>
      </c>
      <c r="AS4" s="2">
        <v>0</v>
      </c>
      <c r="AT4" s="1" t="s">
        <v>73</v>
      </c>
      <c r="AU4" s="2">
        <v>6984</v>
      </c>
      <c r="AV4" s="2">
        <v>2691</v>
      </c>
      <c r="AW4" s="2">
        <v>7584</v>
      </c>
      <c r="AX4" s="2">
        <v>7584</v>
      </c>
      <c r="AY4" s="2">
        <v>7584</v>
      </c>
      <c r="AZ4" s="3">
        <v>343.44</v>
      </c>
      <c r="BA4" s="3">
        <v>7927.44</v>
      </c>
      <c r="BB4" s="2">
        <v>0</v>
      </c>
      <c r="BC4" s="3">
        <v>1426.9391999999998</v>
      </c>
      <c r="BD4" s="2">
        <v>9354.3791999999994</v>
      </c>
      <c r="BE4" s="1"/>
      <c r="BF4" s="1"/>
      <c r="BG4" s="1"/>
      <c r="BH4" s="1"/>
      <c r="BI4" s="1"/>
      <c r="BJ4" s="4">
        <v>45785.355555555558</v>
      </c>
    </row>
    <row r="5" spans="1:62">
      <c r="A5" s="2">
        <v>2025</v>
      </c>
      <c r="B5" s="2">
        <v>5</v>
      </c>
      <c r="C5" s="2">
        <v>1</v>
      </c>
      <c r="D5" s="2">
        <v>784299</v>
      </c>
      <c r="E5" s="1" t="s">
        <v>78</v>
      </c>
      <c r="F5" s="1" t="s">
        <v>63</v>
      </c>
      <c r="G5" s="1" t="s">
        <v>79</v>
      </c>
      <c r="H5" s="1" t="s">
        <v>65</v>
      </c>
      <c r="I5" s="1" t="s">
        <v>80</v>
      </c>
      <c r="J5" s="1" t="s">
        <v>67</v>
      </c>
      <c r="K5" s="1" t="s">
        <v>68</v>
      </c>
      <c r="L5" s="1" t="s">
        <v>69</v>
      </c>
      <c r="M5" s="1" t="s">
        <v>70</v>
      </c>
      <c r="N5" s="1" t="s">
        <v>81</v>
      </c>
      <c r="O5" s="1" t="s">
        <v>72</v>
      </c>
      <c r="P5" s="2">
        <v>59</v>
      </c>
      <c r="Q5" s="2">
        <v>1</v>
      </c>
      <c r="R5" s="2">
        <v>0</v>
      </c>
      <c r="S5" s="2">
        <v>59</v>
      </c>
      <c r="T5" s="2">
        <v>0</v>
      </c>
      <c r="U5" s="2">
        <v>59</v>
      </c>
      <c r="V5" s="2">
        <v>3</v>
      </c>
      <c r="W5" s="2">
        <v>0</v>
      </c>
      <c r="X5" s="3">
        <v>275.989990234375</v>
      </c>
      <c r="Y5" s="2">
        <v>30</v>
      </c>
      <c r="Z5" s="2">
        <v>0</v>
      </c>
      <c r="AA5" s="2">
        <v>1800</v>
      </c>
      <c r="AB5" s="2">
        <v>0</v>
      </c>
      <c r="AC5" s="2">
        <v>0</v>
      </c>
      <c r="AD5" s="2">
        <v>0</v>
      </c>
      <c r="AE5" s="2">
        <v>0</v>
      </c>
      <c r="AF5" s="2">
        <v>901</v>
      </c>
      <c r="AG5" s="2">
        <v>0</v>
      </c>
      <c r="AH5" s="2">
        <v>0</v>
      </c>
      <c r="AI5" s="2">
        <v>30</v>
      </c>
      <c r="AJ5" s="2">
        <v>0</v>
      </c>
      <c r="AK5" s="2">
        <v>0</v>
      </c>
      <c r="AL5" s="2">
        <v>0</v>
      </c>
      <c r="AM5" s="2">
        <v>0</v>
      </c>
      <c r="AN5" s="3">
        <v>20.739276885986328</v>
      </c>
      <c r="AO5" s="2">
        <v>300</v>
      </c>
      <c r="AP5" s="2">
        <v>2</v>
      </c>
      <c r="AQ5" s="2">
        <v>0</v>
      </c>
      <c r="AR5" s="1" t="s">
        <v>73</v>
      </c>
      <c r="AS5" s="2">
        <v>0</v>
      </c>
      <c r="AT5" s="1" t="s">
        <v>73</v>
      </c>
      <c r="AU5" s="2">
        <v>2731</v>
      </c>
      <c r="AV5" s="2">
        <v>931</v>
      </c>
      <c r="AW5" s="2">
        <v>3031</v>
      </c>
      <c r="AX5" s="2">
        <v>3031</v>
      </c>
      <c r="AY5" s="2">
        <v>3031</v>
      </c>
      <c r="AZ5" s="3">
        <v>144</v>
      </c>
      <c r="BA5" s="3">
        <v>3175</v>
      </c>
      <c r="BB5" s="2">
        <v>0</v>
      </c>
      <c r="BC5" s="3">
        <v>571.5</v>
      </c>
      <c r="BD5" s="2">
        <v>3746.5</v>
      </c>
      <c r="BE5" s="1" t="s">
        <v>82</v>
      </c>
      <c r="BF5" s="1" t="s">
        <v>83</v>
      </c>
      <c r="BG5" s="1" t="s">
        <v>84</v>
      </c>
      <c r="BH5" s="1" t="s">
        <v>85</v>
      </c>
      <c r="BI5" s="5">
        <v>45780</v>
      </c>
      <c r="BJ5" s="4">
        <v>45785.355555555558</v>
      </c>
    </row>
    <row r="6" spans="1:62">
      <c r="A6" s="2">
        <v>2025</v>
      </c>
      <c r="B6" s="2">
        <v>5</v>
      </c>
      <c r="C6" s="2">
        <v>1</v>
      </c>
      <c r="D6" s="2">
        <v>746897</v>
      </c>
      <c r="E6" s="1" t="s">
        <v>86</v>
      </c>
      <c r="F6" s="1" t="s">
        <v>63</v>
      </c>
      <c r="G6" s="1" t="s">
        <v>79</v>
      </c>
      <c r="H6" s="1" t="s">
        <v>65</v>
      </c>
      <c r="I6" s="1" t="s">
        <v>66</v>
      </c>
      <c r="J6" s="1" t="s">
        <v>67</v>
      </c>
      <c r="K6" s="1" t="s">
        <v>68</v>
      </c>
      <c r="L6" s="1" t="s">
        <v>69</v>
      </c>
      <c r="M6" s="1" t="s">
        <v>70</v>
      </c>
      <c r="N6" s="1" t="s">
        <v>87</v>
      </c>
      <c r="O6" s="1" t="s">
        <v>72</v>
      </c>
      <c r="P6" s="2">
        <v>124</v>
      </c>
      <c r="Q6" s="2">
        <v>3</v>
      </c>
      <c r="R6" s="2">
        <v>0</v>
      </c>
      <c r="S6" s="2">
        <v>88</v>
      </c>
      <c r="T6" s="2">
        <v>36</v>
      </c>
      <c r="U6" s="2">
        <v>124</v>
      </c>
      <c r="V6" s="2">
        <v>7</v>
      </c>
      <c r="W6" s="2">
        <v>0</v>
      </c>
      <c r="X6" s="3">
        <v>567.6300048828125</v>
      </c>
      <c r="Y6" s="2">
        <v>90</v>
      </c>
      <c r="Z6" s="2">
        <v>0</v>
      </c>
      <c r="AA6" s="2">
        <v>3810</v>
      </c>
      <c r="AB6" s="2">
        <v>0</v>
      </c>
      <c r="AC6" s="2">
        <v>0</v>
      </c>
      <c r="AD6" s="2">
        <v>0</v>
      </c>
      <c r="AE6" s="2">
        <v>0</v>
      </c>
      <c r="AF6" s="2">
        <v>1624</v>
      </c>
      <c r="AG6" s="2">
        <v>0</v>
      </c>
      <c r="AH6" s="2">
        <v>0</v>
      </c>
      <c r="AI6" s="2">
        <v>0</v>
      </c>
      <c r="AJ6" s="2">
        <v>108</v>
      </c>
      <c r="AK6" s="2">
        <v>0</v>
      </c>
      <c r="AL6" s="2">
        <v>250</v>
      </c>
      <c r="AM6" s="2">
        <v>0</v>
      </c>
      <c r="AN6" s="3">
        <v>51.528366088867187</v>
      </c>
      <c r="AO6" s="2">
        <v>400</v>
      </c>
      <c r="AP6" s="2">
        <v>4</v>
      </c>
      <c r="AQ6" s="2">
        <v>0</v>
      </c>
      <c r="AR6" s="1" t="s">
        <v>73</v>
      </c>
      <c r="AS6" s="2">
        <v>0</v>
      </c>
      <c r="AT6" s="1" t="s">
        <v>73</v>
      </c>
      <c r="AU6" s="2">
        <v>5792</v>
      </c>
      <c r="AV6" s="2">
        <v>1982</v>
      </c>
      <c r="AW6" s="2">
        <v>6192</v>
      </c>
      <c r="AX6" s="2">
        <v>6192</v>
      </c>
      <c r="AY6" s="2">
        <v>6192</v>
      </c>
      <c r="AZ6" s="3">
        <v>304.8</v>
      </c>
      <c r="BA6" s="3">
        <v>6496.8</v>
      </c>
      <c r="BB6" s="2">
        <v>0</v>
      </c>
      <c r="BC6" s="3">
        <v>1169.424</v>
      </c>
      <c r="BD6" s="2">
        <v>7666.2240000000002</v>
      </c>
      <c r="BE6" s="1"/>
      <c r="BF6" s="1"/>
      <c r="BG6" s="1"/>
      <c r="BH6" s="1"/>
      <c r="BI6" s="1"/>
      <c r="BJ6" s="4">
        <v>45785.355555555558</v>
      </c>
    </row>
    <row r="7" spans="1:62">
      <c r="A7" s="2">
        <v>2025</v>
      </c>
      <c r="B7" s="2">
        <v>5</v>
      </c>
      <c r="C7" s="2">
        <v>1</v>
      </c>
      <c r="D7" s="2">
        <v>780996</v>
      </c>
      <c r="E7" s="1" t="s">
        <v>88</v>
      </c>
      <c r="F7" s="1" t="s">
        <v>63</v>
      </c>
      <c r="G7" s="1" t="s">
        <v>64</v>
      </c>
      <c r="H7" s="1" t="s">
        <v>65</v>
      </c>
      <c r="I7" s="1" t="s">
        <v>89</v>
      </c>
      <c r="J7" s="1" t="s">
        <v>67</v>
      </c>
      <c r="K7" s="1" t="s">
        <v>68</v>
      </c>
      <c r="L7" s="1" t="s">
        <v>69</v>
      </c>
      <c r="M7" s="1" t="s">
        <v>70</v>
      </c>
      <c r="N7" s="1" t="s">
        <v>90</v>
      </c>
      <c r="O7" s="1" t="s">
        <v>72</v>
      </c>
      <c r="P7" s="2">
        <v>67</v>
      </c>
      <c r="Q7" s="2">
        <v>0</v>
      </c>
      <c r="R7" s="2">
        <v>0</v>
      </c>
      <c r="S7" s="2">
        <v>49</v>
      </c>
      <c r="T7" s="2">
        <v>18</v>
      </c>
      <c r="U7" s="2">
        <v>67</v>
      </c>
      <c r="V7" s="2">
        <v>6</v>
      </c>
      <c r="W7" s="2">
        <v>0</v>
      </c>
      <c r="X7" s="3">
        <v>306.1400146484375</v>
      </c>
      <c r="Y7" s="2">
        <v>0</v>
      </c>
      <c r="Z7" s="2">
        <v>0</v>
      </c>
      <c r="AA7" s="2">
        <v>1809</v>
      </c>
      <c r="AB7" s="2">
        <v>0</v>
      </c>
      <c r="AC7" s="2">
        <v>0</v>
      </c>
      <c r="AD7" s="2">
        <v>0</v>
      </c>
      <c r="AE7" s="3">
        <v>154.11000061035156</v>
      </c>
      <c r="AF7" s="2">
        <v>450</v>
      </c>
      <c r="AG7" s="2">
        <v>0</v>
      </c>
      <c r="AH7" s="2">
        <v>0</v>
      </c>
      <c r="AI7" s="2">
        <v>0</v>
      </c>
      <c r="AJ7" s="2">
        <v>54</v>
      </c>
      <c r="AK7" s="2">
        <v>0</v>
      </c>
      <c r="AL7" s="2">
        <v>0</v>
      </c>
      <c r="AM7" s="2">
        <v>0</v>
      </c>
      <c r="AN7" s="3">
        <v>28.556066513061523</v>
      </c>
      <c r="AO7" s="2">
        <v>0</v>
      </c>
      <c r="AP7" s="2">
        <v>0</v>
      </c>
      <c r="AQ7" s="2">
        <v>0</v>
      </c>
      <c r="AR7" s="1" t="s">
        <v>73</v>
      </c>
      <c r="AS7" s="2">
        <v>42</v>
      </c>
      <c r="AT7" s="1" t="s">
        <v>91</v>
      </c>
      <c r="AU7" s="3">
        <v>2467.110107421875</v>
      </c>
      <c r="AV7" s="3">
        <v>658.1099853515625</v>
      </c>
      <c r="AW7" s="3">
        <v>2467.110107421875</v>
      </c>
      <c r="AX7" s="3">
        <v>2467.110107421875</v>
      </c>
      <c r="AY7" s="3">
        <v>2425.110107421875</v>
      </c>
      <c r="AZ7" s="3">
        <v>144.72</v>
      </c>
      <c r="BA7" s="3">
        <v>2569.8301074218748</v>
      </c>
      <c r="BB7" s="2">
        <v>0</v>
      </c>
      <c r="BC7" s="3">
        <v>462.56941933593743</v>
      </c>
      <c r="BD7" s="2">
        <v>3032.3995267578121</v>
      </c>
      <c r="BE7" s="1" t="s">
        <v>92</v>
      </c>
      <c r="BF7" s="1" t="s">
        <v>93</v>
      </c>
      <c r="BG7" s="1" t="s">
        <v>94</v>
      </c>
      <c r="BH7" s="1" t="s">
        <v>95</v>
      </c>
      <c r="BI7" s="5">
        <v>45772</v>
      </c>
      <c r="BJ7" s="4">
        <v>45785.355555555558</v>
      </c>
    </row>
    <row r="8" spans="1:62">
      <c r="A8" s="2">
        <v>2025</v>
      </c>
      <c r="B8" s="2">
        <v>5</v>
      </c>
      <c r="C8" s="2">
        <v>1</v>
      </c>
      <c r="D8" s="2">
        <v>784779</v>
      </c>
      <c r="E8" s="1" t="s">
        <v>96</v>
      </c>
      <c r="F8" s="1" t="s">
        <v>63</v>
      </c>
      <c r="G8" s="1" t="s">
        <v>97</v>
      </c>
      <c r="H8" s="1" t="s">
        <v>65</v>
      </c>
      <c r="I8" s="1" t="s">
        <v>66</v>
      </c>
      <c r="J8" s="1" t="s">
        <v>67</v>
      </c>
      <c r="K8" s="1" t="s">
        <v>68</v>
      </c>
      <c r="L8" s="1" t="s">
        <v>69</v>
      </c>
      <c r="M8" s="1" t="s">
        <v>70</v>
      </c>
      <c r="N8" s="1" t="s">
        <v>71</v>
      </c>
      <c r="O8" s="1" t="s">
        <v>72</v>
      </c>
      <c r="P8" s="2">
        <v>7</v>
      </c>
      <c r="Q8" s="2">
        <v>0</v>
      </c>
      <c r="R8" s="2">
        <v>0</v>
      </c>
      <c r="S8" s="2">
        <v>7</v>
      </c>
      <c r="T8" s="2">
        <v>0</v>
      </c>
      <c r="U8" s="2">
        <v>7</v>
      </c>
      <c r="V8" s="2">
        <v>1</v>
      </c>
      <c r="W8" s="2">
        <v>0</v>
      </c>
      <c r="X8" s="3">
        <v>17.139999389648438</v>
      </c>
      <c r="Y8" s="2">
        <v>0</v>
      </c>
      <c r="Z8" s="2">
        <v>0</v>
      </c>
      <c r="AA8" s="2">
        <v>189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3">
        <v>2.6005001068115234</v>
      </c>
      <c r="AO8" s="2">
        <v>0</v>
      </c>
      <c r="AP8" s="2">
        <v>0</v>
      </c>
      <c r="AQ8" s="2">
        <v>0</v>
      </c>
      <c r="AR8" s="1" t="s">
        <v>73</v>
      </c>
      <c r="AS8" s="2">
        <v>0</v>
      </c>
      <c r="AT8" s="1" t="s">
        <v>73</v>
      </c>
      <c r="AU8" s="2">
        <v>189</v>
      </c>
      <c r="AV8" s="2">
        <v>0</v>
      </c>
      <c r="AW8" s="2">
        <v>189</v>
      </c>
      <c r="AX8" s="2">
        <v>189</v>
      </c>
      <c r="AY8" s="2">
        <v>189</v>
      </c>
      <c r="AZ8" s="3">
        <v>15.120000000000001</v>
      </c>
      <c r="BA8" s="3">
        <v>204.12</v>
      </c>
      <c r="BB8" s="2">
        <v>0</v>
      </c>
      <c r="BC8" s="3">
        <v>36.741599999999998</v>
      </c>
      <c r="BD8" s="2">
        <v>240.86160000000001</v>
      </c>
      <c r="BE8" s="1" t="s">
        <v>98</v>
      </c>
      <c r="BF8" s="1" t="s">
        <v>99</v>
      </c>
      <c r="BG8" s="1" t="s">
        <v>100</v>
      </c>
      <c r="BH8" s="1" t="s">
        <v>101</v>
      </c>
      <c r="BI8" s="5">
        <v>45782</v>
      </c>
      <c r="BJ8" s="4">
        <v>45785.355555555558</v>
      </c>
    </row>
    <row r="9" spans="1:62">
      <c r="A9" s="2">
        <v>2025</v>
      </c>
      <c r="B9" s="2">
        <v>5</v>
      </c>
      <c r="C9" s="2">
        <v>1</v>
      </c>
      <c r="D9" s="2">
        <v>784832</v>
      </c>
      <c r="E9" s="1" t="s">
        <v>102</v>
      </c>
      <c r="F9" s="1" t="s">
        <v>63</v>
      </c>
      <c r="G9" s="1" t="s">
        <v>79</v>
      </c>
      <c r="H9" s="1" t="s">
        <v>65</v>
      </c>
      <c r="I9" s="1" t="s">
        <v>66</v>
      </c>
      <c r="J9" s="1" t="s">
        <v>67</v>
      </c>
      <c r="K9" s="1" t="s">
        <v>68</v>
      </c>
      <c r="L9" s="1" t="s">
        <v>69</v>
      </c>
      <c r="M9" s="1" t="s">
        <v>70</v>
      </c>
      <c r="N9" s="1" t="s">
        <v>87</v>
      </c>
      <c r="O9" s="1" t="s">
        <v>72</v>
      </c>
      <c r="P9" s="2">
        <v>30</v>
      </c>
      <c r="Q9" s="2">
        <v>4</v>
      </c>
      <c r="R9" s="2">
        <v>0</v>
      </c>
      <c r="S9" s="2">
        <v>30</v>
      </c>
      <c r="T9" s="2">
        <v>0</v>
      </c>
      <c r="U9" s="2">
        <v>30</v>
      </c>
      <c r="V9" s="2">
        <v>3</v>
      </c>
      <c r="W9" s="2">
        <v>0</v>
      </c>
      <c r="X9" s="3">
        <v>129.49000549316406</v>
      </c>
      <c r="Y9" s="2">
        <v>120</v>
      </c>
      <c r="Z9" s="2">
        <v>0</v>
      </c>
      <c r="AA9" s="2">
        <v>1020</v>
      </c>
      <c r="AB9" s="2">
        <v>0</v>
      </c>
      <c r="AC9" s="2">
        <v>0</v>
      </c>
      <c r="AD9" s="2">
        <v>0</v>
      </c>
      <c r="AE9" s="2">
        <v>0</v>
      </c>
      <c r="AF9" s="2">
        <v>252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3">
        <v>15.908110618591309</v>
      </c>
      <c r="AO9" s="2">
        <v>0</v>
      </c>
      <c r="AP9" s="2">
        <v>0</v>
      </c>
      <c r="AQ9" s="2">
        <v>0</v>
      </c>
      <c r="AR9" s="1" t="s">
        <v>73</v>
      </c>
      <c r="AS9" s="2">
        <v>0</v>
      </c>
      <c r="AT9" s="1" t="s">
        <v>73</v>
      </c>
      <c r="AU9" s="2">
        <v>1272</v>
      </c>
      <c r="AV9" s="2">
        <v>252</v>
      </c>
      <c r="AW9" s="2">
        <v>1272</v>
      </c>
      <c r="AX9" s="2">
        <v>1272</v>
      </c>
      <c r="AY9" s="2">
        <v>1272</v>
      </c>
      <c r="AZ9" s="3">
        <v>81.600000000000009</v>
      </c>
      <c r="BA9" s="3">
        <v>1353.6</v>
      </c>
      <c r="BB9" s="2">
        <v>0</v>
      </c>
      <c r="BC9" s="3">
        <v>243.64799999999997</v>
      </c>
      <c r="BD9" s="2">
        <v>1597.2479999999998</v>
      </c>
      <c r="BE9" s="1" t="s">
        <v>103</v>
      </c>
      <c r="BF9" s="1" t="s">
        <v>104</v>
      </c>
      <c r="BG9" s="1" t="s">
        <v>105</v>
      </c>
      <c r="BH9" s="1" t="s">
        <v>106</v>
      </c>
      <c r="BI9" s="5">
        <v>45782</v>
      </c>
      <c r="BJ9" s="4">
        <v>45785.355555555558</v>
      </c>
    </row>
    <row r="10" spans="1:62">
      <c r="A10" s="2">
        <v>2025</v>
      </c>
      <c r="B10" s="2">
        <v>5</v>
      </c>
      <c r="C10" s="2">
        <v>1</v>
      </c>
      <c r="D10" s="2">
        <v>744645</v>
      </c>
      <c r="E10" s="1" t="s">
        <v>107</v>
      </c>
      <c r="F10" s="1" t="s">
        <v>63</v>
      </c>
      <c r="G10" s="1" t="s">
        <v>64</v>
      </c>
      <c r="H10" s="1" t="s">
        <v>65</v>
      </c>
      <c r="I10" s="1" t="s">
        <v>66</v>
      </c>
      <c r="J10" s="1" t="s">
        <v>67</v>
      </c>
      <c r="K10" s="1" t="s">
        <v>68</v>
      </c>
      <c r="L10" s="1" t="s">
        <v>69</v>
      </c>
      <c r="M10" s="1" t="s">
        <v>70</v>
      </c>
      <c r="N10" s="1" t="s">
        <v>71</v>
      </c>
      <c r="O10" s="1" t="s">
        <v>72</v>
      </c>
      <c r="P10" s="2">
        <v>122</v>
      </c>
      <c r="Q10" s="2">
        <v>2</v>
      </c>
      <c r="R10" s="2">
        <v>0</v>
      </c>
      <c r="S10" s="2">
        <v>105</v>
      </c>
      <c r="T10" s="2">
        <v>17</v>
      </c>
      <c r="U10" s="2">
        <v>122</v>
      </c>
      <c r="V10" s="2">
        <v>6</v>
      </c>
      <c r="W10" s="2">
        <v>0</v>
      </c>
      <c r="X10" s="3">
        <v>523.54998779296875</v>
      </c>
      <c r="Y10" s="2">
        <v>54</v>
      </c>
      <c r="Z10" s="2">
        <v>0</v>
      </c>
      <c r="AA10" s="2">
        <v>3348</v>
      </c>
      <c r="AB10" s="2">
        <v>0</v>
      </c>
      <c r="AC10" s="2">
        <v>0</v>
      </c>
      <c r="AD10" s="2">
        <v>0</v>
      </c>
      <c r="AE10" s="2">
        <v>0</v>
      </c>
      <c r="AF10" s="2">
        <v>1692</v>
      </c>
      <c r="AG10" s="2">
        <v>0</v>
      </c>
      <c r="AH10" s="2">
        <v>0</v>
      </c>
      <c r="AI10" s="2">
        <v>30</v>
      </c>
      <c r="AJ10" s="2">
        <v>54</v>
      </c>
      <c r="AK10" s="2">
        <v>0</v>
      </c>
      <c r="AL10" s="2">
        <v>250</v>
      </c>
      <c r="AM10" s="2">
        <v>0</v>
      </c>
      <c r="AN10" s="3">
        <v>44.952056884765625</v>
      </c>
      <c r="AO10" s="2">
        <v>300</v>
      </c>
      <c r="AP10" s="2">
        <v>3</v>
      </c>
      <c r="AQ10" s="2">
        <v>0</v>
      </c>
      <c r="AR10" s="1" t="s">
        <v>73</v>
      </c>
      <c r="AS10" s="2">
        <v>0</v>
      </c>
      <c r="AT10" s="1" t="s">
        <v>73</v>
      </c>
      <c r="AU10" s="2">
        <v>5374</v>
      </c>
      <c r="AV10" s="2">
        <v>2026</v>
      </c>
      <c r="AW10" s="2">
        <v>5674</v>
      </c>
      <c r="AX10" s="2">
        <v>5674</v>
      </c>
      <c r="AY10" s="2">
        <v>5674</v>
      </c>
      <c r="AZ10" s="3">
        <v>267.84000000000003</v>
      </c>
      <c r="BA10" s="3">
        <v>5941.84</v>
      </c>
      <c r="BB10" s="2">
        <v>0</v>
      </c>
      <c r="BC10" s="3">
        <v>1069.5311999999999</v>
      </c>
      <c r="BD10" s="2">
        <v>7011.3711999999996</v>
      </c>
      <c r="BE10" s="1"/>
      <c r="BF10" s="1"/>
      <c r="BG10" s="1"/>
      <c r="BH10" s="1"/>
      <c r="BI10" s="1"/>
      <c r="BJ10" s="4">
        <v>45785.355555555558</v>
      </c>
    </row>
    <row r="11" spans="1:62">
      <c r="A11" s="2">
        <v>2025</v>
      </c>
      <c r="B11" s="2">
        <v>5</v>
      </c>
      <c r="C11" s="2">
        <v>1</v>
      </c>
      <c r="D11" s="2">
        <v>756144</v>
      </c>
      <c r="E11" s="1" t="s">
        <v>108</v>
      </c>
      <c r="F11" s="1" t="s">
        <v>63</v>
      </c>
      <c r="G11" s="1" t="s">
        <v>79</v>
      </c>
      <c r="H11" s="1" t="s">
        <v>65</v>
      </c>
      <c r="I11" s="1" t="s">
        <v>109</v>
      </c>
      <c r="J11" s="1" t="s">
        <v>67</v>
      </c>
      <c r="K11" s="1" t="s">
        <v>68</v>
      </c>
      <c r="L11" s="1" t="s">
        <v>69</v>
      </c>
      <c r="M11" s="1" t="s">
        <v>70</v>
      </c>
      <c r="N11" s="1" t="s">
        <v>110</v>
      </c>
      <c r="O11" s="1" t="s">
        <v>72</v>
      </c>
      <c r="P11" s="2">
        <v>202</v>
      </c>
      <c r="Q11" s="2">
        <v>2</v>
      </c>
      <c r="R11" s="2">
        <v>0</v>
      </c>
      <c r="S11" s="2">
        <v>144</v>
      </c>
      <c r="T11" s="2">
        <v>58</v>
      </c>
      <c r="U11" s="2">
        <v>202</v>
      </c>
      <c r="V11" s="2">
        <v>7</v>
      </c>
      <c r="W11" s="2">
        <v>0</v>
      </c>
      <c r="X11" s="3">
        <v>743.78997802734375</v>
      </c>
      <c r="Y11" s="2">
        <v>60</v>
      </c>
      <c r="Z11" s="2">
        <v>0</v>
      </c>
      <c r="AA11" s="2">
        <v>6120</v>
      </c>
      <c r="AB11" s="2">
        <v>0</v>
      </c>
      <c r="AC11" s="2">
        <v>980</v>
      </c>
      <c r="AD11" s="2">
        <v>0</v>
      </c>
      <c r="AE11" s="3">
        <v>421.1400146484375</v>
      </c>
      <c r="AF11" s="2">
        <v>3396</v>
      </c>
      <c r="AG11" s="2">
        <v>0</v>
      </c>
      <c r="AH11" s="2">
        <v>0</v>
      </c>
      <c r="AI11" s="2">
        <v>30</v>
      </c>
      <c r="AJ11" s="2">
        <v>174</v>
      </c>
      <c r="AK11" s="2">
        <v>0</v>
      </c>
      <c r="AL11" s="2">
        <v>800</v>
      </c>
      <c r="AM11" s="2">
        <v>0</v>
      </c>
      <c r="AN11" s="3">
        <v>60.525920867919922</v>
      </c>
      <c r="AO11" s="2">
        <v>0</v>
      </c>
      <c r="AP11" s="2">
        <v>0</v>
      </c>
      <c r="AQ11" s="2">
        <v>0</v>
      </c>
      <c r="AR11" s="1" t="s">
        <v>73</v>
      </c>
      <c r="AS11" s="2">
        <v>0</v>
      </c>
      <c r="AT11" s="1" t="s">
        <v>73</v>
      </c>
      <c r="AU11" s="3">
        <v>11921.1396484375</v>
      </c>
      <c r="AV11" s="3">
        <v>5801.14013671875</v>
      </c>
      <c r="AW11" s="3">
        <v>11921.1396484375</v>
      </c>
      <c r="AX11" s="3">
        <v>11921.1396484375</v>
      </c>
      <c r="AY11" s="3">
        <v>11921.1396484375</v>
      </c>
      <c r="AZ11" s="3">
        <v>489.6</v>
      </c>
      <c r="BA11" s="3">
        <v>12410.7396484375</v>
      </c>
      <c r="BB11" s="2">
        <v>0</v>
      </c>
      <c r="BC11" s="3">
        <v>2233.9331367187501</v>
      </c>
      <c r="BD11" s="2">
        <v>14644.67278515625</v>
      </c>
      <c r="BE11" s="1"/>
      <c r="BF11" s="1"/>
      <c r="BG11" s="1"/>
      <c r="BH11" s="1"/>
      <c r="BI11" s="1"/>
      <c r="BJ11" s="4">
        <v>45785.355555555558</v>
      </c>
    </row>
    <row r="12" spans="1:62">
      <c r="A12" s="2">
        <v>2025</v>
      </c>
      <c r="B12" s="2">
        <v>5</v>
      </c>
      <c r="C12" s="2">
        <v>1</v>
      </c>
      <c r="D12" s="2">
        <v>756418</v>
      </c>
      <c r="E12" s="1" t="s">
        <v>111</v>
      </c>
      <c r="F12" s="1" t="s">
        <v>63</v>
      </c>
      <c r="G12" s="1" t="s">
        <v>79</v>
      </c>
      <c r="H12" s="1" t="s">
        <v>65</v>
      </c>
      <c r="I12" s="1" t="s">
        <v>112</v>
      </c>
      <c r="J12" s="1" t="s">
        <v>67</v>
      </c>
      <c r="K12" s="1" t="s">
        <v>68</v>
      </c>
      <c r="L12" s="1" t="s">
        <v>69</v>
      </c>
      <c r="M12" s="1" t="s">
        <v>70</v>
      </c>
      <c r="N12" s="1" t="s">
        <v>113</v>
      </c>
      <c r="O12" s="1" t="s">
        <v>72</v>
      </c>
      <c r="P12" s="2">
        <v>68</v>
      </c>
      <c r="Q12" s="2">
        <v>0</v>
      </c>
      <c r="R12" s="2">
        <v>0</v>
      </c>
      <c r="S12" s="2">
        <v>50</v>
      </c>
      <c r="T12" s="2">
        <v>18</v>
      </c>
      <c r="U12" s="2">
        <v>68</v>
      </c>
      <c r="V12" s="2">
        <v>5</v>
      </c>
      <c r="W12" s="2">
        <v>0</v>
      </c>
      <c r="X12" s="3">
        <v>256.22000122070312</v>
      </c>
      <c r="Y12" s="2">
        <v>0</v>
      </c>
      <c r="Z12" s="2">
        <v>0</v>
      </c>
      <c r="AA12" s="2">
        <v>2040</v>
      </c>
      <c r="AB12" s="2">
        <v>0</v>
      </c>
      <c r="AC12" s="2">
        <v>0</v>
      </c>
      <c r="AD12" s="2">
        <v>0</v>
      </c>
      <c r="AE12" s="2">
        <v>0</v>
      </c>
      <c r="AF12" s="2">
        <v>754</v>
      </c>
      <c r="AG12" s="2">
        <v>0</v>
      </c>
      <c r="AH12" s="2">
        <v>0</v>
      </c>
      <c r="AI12" s="2">
        <v>0</v>
      </c>
      <c r="AJ12" s="2">
        <v>54</v>
      </c>
      <c r="AK12" s="2">
        <v>0</v>
      </c>
      <c r="AL12" s="2">
        <v>0</v>
      </c>
      <c r="AM12" s="2">
        <v>0</v>
      </c>
      <c r="AN12" s="3">
        <v>28.757266998291016</v>
      </c>
      <c r="AO12" s="2">
        <v>0</v>
      </c>
      <c r="AP12" s="2">
        <v>0</v>
      </c>
      <c r="AQ12" s="2">
        <v>0</v>
      </c>
      <c r="AR12" s="1" t="s">
        <v>73</v>
      </c>
      <c r="AS12" s="2">
        <v>300</v>
      </c>
      <c r="AT12" s="1" t="s">
        <v>114</v>
      </c>
      <c r="AU12" s="2">
        <v>2848</v>
      </c>
      <c r="AV12" s="2">
        <v>808</v>
      </c>
      <c r="AW12" s="2">
        <v>2848</v>
      </c>
      <c r="AX12" s="2">
        <v>2848</v>
      </c>
      <c r="AY12" s="2">
        <v>2548</v>
      </c>
      <c r="AZ12" s="3">
        <v>163.20000000000002</v>
      </c>
      <c r="BA12" s="3">
        <v>2711.2</v>
      </c>
      <c r="BB12" s="2">
        <v>0</v>
      </c>
      <c r="BC12" s="3">
        <v>488.01599999999996</v>
      </c>
      <c r="BD12" s="2">
        <v>3199.2159999999999</v>
      </c>
      <c r="BE12" s="1"/>
      <c r="BF12" s="1"/>
      <c r="BG12" s="1"/>
      <c r="BH12" s="1"/>
      <c r="BI12" s="1"/>
      <c r="BJ12" s="4">
        <v>45785.355555555558</v>
      </c>
    </row>
    <row r="13" spans="1:62">
      <c r="A13" s="2">
        <v>2025</v>
      </c>
      <c r="B13" s="2">
        <v>5</v>
      </c>
      <c r="C13" s="2">
        <v>1</v>
      </c>
      <c r="D13" s="2">
        <v>784269</v>
      </c>
      <c r="E13" s="1" t="s">
        <v>115</v>
      </c>
      <c r="F13" s="1" t="s">
        <v>63</v>
      </c>
      <c r="G13" s="1" t="s">
        <v>79</v>
      </c>
      <c r="H13" s="1" t="s">
        <v>65</v>
      </c>
      <c r="I13" s="1" t="s">
        <v>116</v>
      </c>
      <c r="J13" s="1" t="s">
        <v>67</v>
      </c>
      <c r="K13" s="1" t="s">
        <v>68</v>
      </c>
      <c r="L13" s="1" t="s">
        <v>69</v>
      </c>
      <c r="M13" s="1" t="s">
        <v>70</v>
      </c>
      <c r="N13" s="1" t="s">
        <v>117</v>
      </c>
      <c r="O13" s="1" t="s">
        <v>72</v>
      </c>
      <c r="P13" s="2">
        <v>10</v>
      </c>
      <c r="Q13" s="2">
        <v>0</v>
      </c>
      <c r="R13" s="2">
        <v>0</v>
      </c>
      <c r="S13" s="2">
        <v>0</v>
      </c>
      <c r="T13" s="2">
        <v>10</v>
      </c>
      <c r="U13" s="2">
        <v>10</v>
      </c>
      <c r="V13" s="2">
        <v>1</v>
      </c>
      <c r="W13" s="2">
        <v>0</v>
      </c>
      <c r="X13" s="3">
        <v>43.630001068115234</v>
      </c>
      <c r="Y13" s="2">
        <v>0</v>
      </c>
      <c r="Z13" s="2">
        <v>0</v>
      </c>
      <c r="AA13" s="2">
        <v>300</v>
      </c>
      <c r="AB13" s="2">
        <v>0</v>
      </c>
      <c r="AC13" s="2">
        <v>0</v>
      </c>
      <c r="AD13" s="2">
        <v>0</v>
      </c>
      <c r="AE13" s="3">
        <v>29.879999160766602</v>
      </c>
      <c r="AF13" s="2">
        <v>0</v>
      </c>
      <c r="AG13" s="2">
        <v>0</v>
      </c>
      <c r="AH13" s="2">
        <v>0</v>
      </c>
      <c r="AI13" s="2">
        <v>0</v>
      </c>
      <c r="AJ13" s="2">
        <v>30</v>
      </c>
      <c r="AK13" s="2">
        <v>0</v>
      </c>
      <c r="AL13" s="2">
        <v>0</v>
      </c>
      <c r="AM13" s="2">
        <v>0</v>
      </c>
      <c r="AN13" s="3">
        <v>4.8008890151977539</v>
      </c>
      <c r="AO13" s="2">
        <v>0</v>
      </c>
      <c r="AP13" s="2">
        <v>0</v>
      </c>
      <c r="AQ13" s="2">
        <v>0</v>
      </c>
      <c r="AR13" s="1" t="s">
        <v>73</v>
      </c>
      <c r="AS13" s="2">
        <v>0</v>
      </c>
      <c r="AT13" s="1" t="s">
        <v>73</v>
      </c>
      <c r="AU13" s="3">
        <v>359.8800048828125</v>
      </c>
      <c r="AV13" s="3">
        <v>59.880001068115234</v>
      </c>
      <c r="AW13" s="3">
        <v>359.8800048828125</v>
      </c>
      <c r="AX13" s="3">
        <v>359.8800048828125</v>
      </c>
      <c r="AY13" s="3">
        <v>359.8800048828125</v>
      </c>
      <c r="AZ13" s="3">
        <v>24</v>
      </c>
      <c r="BA13" s="3">
        <v>383.8800048828125</v>
      </c>
      <c r="BB13" s="2">
        <v>0</v>
      </c>
      <c r="BC13" s="3">
        <v>69.098400878906247</v>
      </c>
      <c r="BD13" s="2">
        <v>452.97840576171876</v>
      </c>
      <c r="BE13" s="1" t="s">
        <v>118</v>
      </c>
      <c r="BF13" s="1" t="s">
        <v>119</v>
      </c>
      <c r="BG13" s="1" t="s">
        <v>120</v>
      </c>
      <c r="BH13" s="1" t="s">
        <v>121</v>
      </c>
      <c r="BI13" s="5">
        <v>45780</v>
      </c>
      <c r="BJ13" s="4">
        <v>45785.355555555558</v>
      </c>
    </row>
    <row r="14" spans="1:62">
      <c r="A14" s="2">
        <v>2025</v>
      </c>
      <c r="B14" s="2">
        <v>5</v>
      </c>
      <c r="C14" s="2">
        <v>1</v>
      </c>
      <c r="D14" s="2">
        <v>763173</v>
      </c>
      <c r="E14" s="1" t="s">
        <v>122</v>
      </c>
      <c r="F14" s="1" t="s">
        <v>63</v>
      </c>
      <c r="G14" s="1" t="s">
        <v>64</v>
      </c>
      <c r="H14" s="1" t="s">
        <v>65</v>
      </c>
      <c r="I14" s="1" t="s">
        <v>123</v>
      </c>
      <c r="J14" s="1" t="s">
        <v>67</v>
      </c>
      <c r="K14" s="1" t="s">
        <v>68</v>
      </c>
      <c r="L14" s="1" t="s">
        <v>69</v>
      </c>
      <c r="M14" s="1" t="s">
        <v>70</v>
      </c>
      <c r="N14" s="1" t="s">
        <v>124</v>
      </c>
      <c r="O14" s="1" t="s">
        <v>72</v>
      </c>
      <c r="P14" s="2">
        <v>265</v>
      </c>
      <c r="Q14" s="2">
        <v>9</v>
      </c>
      <c r="R14" s="2">
        <v>0</v>
      </c>
      <c r="S14" s="2">
        <v>187</v>
      </c>
      <c r="T14" s="2">
        <v>78</v>
      </c>
      <c r="U14" s="2">
        <v>265</v>
      </c>
      <c r="V14" s="2">
        <v>7</v>
      </c>
      <c r="W14" s="2">
        <v>0</v>
      </c>
      <c r="X14" s="3">
        <v>901.94000244140625</v>
      </c>
      <c r="Y14" s="2">
        <v>243</v>
      </c>
      <c r="Z14" s="2">
        <v>0</v>
      </c>
      <c r="AA14" s="2">
        <v>7398</v>
      </c>
      <c r="AB14" s="2">
        <v>0</v>
      </c>
      <c r="AC14" s="2">
        <v>4480</v>
      </c>
      <c r="AD14" s="2">
        <v>0</v>
      </c>
      <c r="AE14" s="2">
        <v>0</v>
      </c>
      <c r="AF14" s="2">
        <v>4644</v>
      </c>
      <c r="AG14" s="2">
        <v>0</v>
      </c>
      <c r="AH14" s="2">
        <v>0</v>
      </c>
      <c r="AI14" s="2">
        <v>0</v>
      </c>
      <c r="AJ14" s="2">
        <v>237</v>
      </c>
      <c r="AK14" s="2">
        <v>0</v>
      </c>
      <c r="AL14" s="2">
        <v>800</v>
      </c>
      <c r="AM14" s="2">
        <v>0</v>
      </c>
      <c r="AN14" s="2">
        <v>63</v>
      </c>
      <c r="AO14" s="2">
        <v>0</v>
      </c>
      <c r="AP14" s="2">
        <v>0</v>
      </c>
      <c r="AQ14" s="2">
        <v>1400</v>
      </c>
      <c r="AR14" s="1" t="s">
        <v>125</v>
      </c>
      <c r="AS14" s="2">
        <v>65</v>
      </c>
      <c r="AT14" s="1" t="s">
        <v>126</v>
      </c>
      <c r="AU14" s="2">
        <v>17559</v>
      </c>
      <c r="AV14" s="2">
        <v>10161</v>
      </c>
      <c r="AW14" s="2">
        <v>17559</v>
      </c>
      <c r="AX14" s="2">
        <v>18959</v>
      </c>
      <c r="AY14" s="2">
        <v>18894</v>
      </c>
      <c r="AZ14" s="3">
        <v>591.84</v>
      </c>
      <c r="BA14" s="3">
        <v>19485.84</v>
      </c>
      <c r="BB14" s="2">
        <v>0</v>
      </c>
      <c r="BC14" s="3">
        <v>3507.4512</v>
      </c>
      <c r="BD14" s="2">
        <v>22993.2912</v>
      </c>
      <c r="BE14" s="1"/>
      <c r="BF14" s="1"/>
      <c r="BG14" s="1"/>
      <c r="BH14" s="1"/>
      <c r="BI14" s="1"/>
      <c r="BJ14" s="4">
        <v>45785.355555555558</v>
      </c>
    </row>
    <row r="15" spans="1:62">
      <c r="A15" s="2">
        <v>2025</v>
      </c>
      <c r="B15" s="2">
        <v>5</v>
      </c>
      <c r="C15" s="2">
        <v>1</v>
      </c>
      <c r="D15" s="2">
        <v>738700</v>
      </c>
      <c r="E15" s="1" t="s">
        <v>127</v>
      </c>
      <c r="F15" s="1" t="s">
        <v>63</v>
      </c>
      <c r="G15" s="1" t="s">
        <v>79</v>
      </c>
      <c r="H15" s="1" t="s">
        <v>65</v>
      </c>
      <c r="I15" s="1" t="s">
        <v>75</v>
      </c>
      <c r="J15" s="1" t="s">
        <v>67</v>
      </c>
      <c r="K15" s="1" t="s">
        <v>68</v>
      </c>
      <c r="L15" s="1" t="s">
        <v>69</v>
      </c>
      <c r="M15" s="1" t="s">
        <v>70</v>
      </c>
      <c r="N15" s="1" t="s">
        <v>128</v>
      </c>
      <c r="O15" s="1" t="s">
        <v>72</v>
      </c>
      <c r="P15" s="2">
        <v>99</v>
      </c>
      <c r="Q15" s="2">
        <v>5</v>
      </c>
      <c r="R15" s="2">
        <v>0</v>
      </c>
      <c r="S15" s="2">
        <v>36</v>
      </c>
      <c r="T15" s="2">
        <v>63</v>
      </c>
      <c r="U15" s="2">
        <v>99</v>
      </c>
      <c r="V15" s="2">
        <v>5</v>
      </c>
      <c r="W15" s="2">
        <v>0</v>
      </c>
      <c r="X15" s="3">
        <v>488.72000122070313</v>
      </c>
      <c r="Y15" s="2">
        <v>150</v>
      </c>
      <c r="Z15" s="2">
        <v>0</v>
      </c>
      <c r="AA15" s="2">
        <v>3120</v>
      </c>
      <c r="AB15" s="2">
        <v>0</v>
      </c>
      <c r="AC15" s="2">
        <v>260</v>
      </c>
      <c r="AD15" s="2">
        <v>0</v>
      </c>
      <c r="AE15" s="2">
        <v>0</v>
      </c>
      <c r="AF15" s="2">
        <v>1492</v>
      </c>
      <c r="AG15" s="2">
        <v>0</v>
      </c>
      <c r="AH15" s="2">
        <v>0</v>
      </c>
      <c r="AI15" s="2">
        <v>0</v>
      </c>
      <c r="AJ15" s="2">
        <v>201</v>
      </c>
      <c r="AK15" s="2">
        <v>0</v>
      </c>
      <c r="AL15" s="2">
        <v>0</v>
      </c>
      <c r="AM15" s="2">
        <v>0</v>
      </c>
      <c r="AN15" s="3">
        <v>33.044223785400391</v>
      </c>
      <c r="AO15" s="2">
        <v>0</v>
      </c>
      <c r="AP15" s="2">
        <v>0</v>
      </c>
      <c r="AQ15" s="2">
        <v>0</v>
      </c>
      <c r="AR15" s="1" t="s">
        <v>73</v>
      </c>
      <c r="AS15" s="3">
        <v>42.729999542236328</v>
      </c>
      <c r="AT15" s="1" t="s">
        <v>126</v>
      </c>
      <c r="AU15" s="2">
        <v>5073</v>
      </c>
      <c r="AV15" s="2">
        <v>1953</v>
      </c>
      <c r="AW15" s="2">
        <v>5073</v>
      </c>
      <c r="AX15" s="2">
        <v>5073</v>
      </c>
      <c r="AY15" s="3">
        <v>5030.27001953125</v>
      </c>
      <c r="AZ15" s="3">
        <v>249.6</v>
      </c>
      <c r="BA15" s="3">
        <v>5279.8700195312504</v>
      </c>
      <c r="BB15" s="2">
        <v>0</v>
      </c>
      <c r="BC15" s="3">
        <v>950.37660351562499</v>
      </c>
      <c r="BD15" s="2">
        <v>6230.2466230468754</v>
      </c>
      <c r="BE15" s="1"/>
      <c r="BF15" s="1"/>
      <c r="BG15" s="1"/>
      <c r="BH15" s="1"/>
      <c r="BI15" s="5">
        <v>45645</v>
      </c>
      <c r="BJ15" s="4">
        <v>45785.355555555558</v>
      </c>
    </row>
    <row r="16" spans="1:62">
      <c r="A16" s="2">
        <v>2025</v>
      </c>
      <c r="B16" s="2">
        <v>5</v>
      </c>
      <c r="C16" s="2">
        <v>1</v>
      </c>
      <c r="D16" s="2">
        <v>754658</v>
      </c>
      <c r="E16" s="1" t="s">
        <v>129</v>
      </c>
      <c r="F16" s="1" t="s">
        <v>63</v>
      </c>
      <c r="G16" s="1" t="s">
        <v>64</v>
      </c>
      <c r="H16" s="1" t="s">
        <v>65</v>
      </c>
      <c r="I16" s="1" t="s">
        <v>123</v>
      </c>
      <c r="J16" s="1" t="s">
        <v>67</v>
      </c>
      <c r="K16" s="1" t="s">
        <v>68</v>
      </c>
      <c r="L16" s="1" t="s">
        <v>69</v>
      </c>
      <c r="M16" s="1" t="s">
        <v>70</v>
      </c>
      <c r="N16" s="1" t="s">
        <v>124</v>
      </c>
      <c r="O16" s="1" t="s">
        <v>72</v>
      </c>
      <c r="P16" s="2">
        <v>13</v>
      </c>
      <c r="Q16" s="2">
        <v>0</v>
      </c>
      <c r="R16" s="2">
        <v>0</v>
      </c>
      <c r="S16" s="2">
        <v>13</v>
      </c>
      <c r="T16" s="2">
        <v>0</v>
      </c>
      <c r="U16" s="2">
        <v>13</v>
      </c>
      <c r="V16" s="2">
        <v>1</v>
      </c>
      <c r="W16" s="2">
        <v>0</v>
      </c>
      <c r="X16" s="3">
        <v>49.279998779296875</v>
      </c>
      <c r="Y16" s="2">
        <v>0</v>
      </c>
      <c r="Z16" s="2">
        <v>0</v>
      </c>
      <c r="AA16" s="2">
        <v>351</v>
      </c>
      <c r="AB16" s="2">
        <v>0</v>
      </c>
      <c r="AC16" s="2">
        <v>0</v>
      </c>
      <c r="AD16" s="2">
        <v>0</v>
      </c>
      <c r="AE16" s="2">
        <v>0</v>
      </c>
      <c r="AF16" s="2">
        <v>65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3">
        <v>4.4293889999389648</v>
      </c>
      <c r="AO16" s="2">
        <v>0</v>
      </c>
      <c r="AP16" s="2">
        <v>0</v>
      </c>
      <c r="AQ16" s="2">
        <v>0</v>
      </c>
      <c r="AR16" s="1" t="s">
        <v>73</v>
      </c>
      <c r="AS16" s="2">
        <v>0</v>
      </c>
      <c r="AT16" s="1" t="s">
        <v>73</v>
      </c>
      <c r="AU16" s="2">
        <v>416</v>
      </c>
      <c r="AV16" s="2">
        <v>65</v>
      </c>
      <c r="AW16" s="2">
        <v>416</v>
      </c>
      <c r="AX16" s="2">
        <v>416</v>
      </c>
      <c r="AY16" s="2">
        <v>416</v>
      </c>
      <c r="AZ16" s="3">
        <v>28.080000000000002</v>
      </c>
      <c r="BA16" s="3">
        <v>444.08</v>
      </c>
      <c r="BB16" s="2">
        <v>0</v>
      </c>
      <c r="BC16" s="3">
        <v>79.934399999999997</v>
      </c>
      <c r="BD16" s="2">
        <v>524.01440000000002</v>
      </c>
      <c r="BE16" s="1"/>
      <c r="BF16" s="1"/>
      <c r="BG16" s="1"/>
      <c r="BH16" s="1"/>
      <c r="BI16" s="1"/>
      <c r="BJ16" s="4">
        <v>45785.355555555558</v>
      </c>
    </row>
    <row r="17" spans="1:62">
      <c r="A17" s="2">
        <v>2025</v>
      </c>
      <c r="B17" s="2">
        <v>5</v>
      </c>
      <c r="C17" s="2">
        <v>1</v>
      </c>
      <c r="D17" s="2">
        <v>735193</v>
      </c>
      <c r="E17" s="1" t="s">
        <v>130</v>
      </c>
      <c r="F17" s="1" t="s">
        <v>63</v>
      </c>
      <c r="G17" s="1" t="s">
        <v>64</v>
      </c>
      <c r="H17" s="1" t="s">
        <v>65</v>
      </c>
      <c r="I17" s="1" t="s">
        <v>66</v>
      </c>
      <c r="J17" s="1" t="s">
        <v>67</v>
      </c>
      <c r="K17" s="1" t="s">
        <v>68</v>
      </c>
      <c r="L17" s="1" t="s">
        <v>69</v>
      </c>
      <c r="M17" s="1" t="s">
        <v>70</v>
      </c>
      <c r="N17" s="1" t="s">
        <v>71</v>
      </c>
      <c r="O17" s="1" t="s">
        <v>72</v>
      </c>
      <c r="P17" s="2">
        <v>147</v>
      </c>
      <c r="Q17" s="2">
        <v>1</v>
      </c>
      <c r="R17" s="2">
        <v>0</v>
      </c>
      <c r="S17" s="2">
        <v>100</v>
      </c>
      <c r="T17" s="2">
        <v>47</v>
      </c>
      <c r="U17" s="2">
        <v>147</v>
      </c>
      <c r="V17" s="2">
        <v>7</v>
      </c>
      <c r="W17" s="2">
        <v>0</v>
      </c>
      <c r="X17" s="3">
        <v>611.66998291015625</v>
      </c>
      <c r="Y17" s="2">
        <v>27</v>
      </c>
      <c r="Z17" s="2">
        <v>0</v>
      </c>
      <c r="AA17" s="2">
        <v>3996</v>
      </c>
      <c r="AB17" s="2">
        <v>0</v>
      </c>
      <c r="AC17" s="2">
        <v>50</v>
      </c>
      <c r="AD17" s="2">
        <v>0</v>
      </c>
      <c r="AE17" s="2">
        <v>0</v>
      </c>
      <c r="AF17" s="2">
        <v>1968</v>
      </c>
      <c r="AG17" s="2">
        <v>0</v>
      </c>
      <c r="AH17" s="2">
        <v>0</v>
      </c>
      <c r="AI17" s="2">
        <v>30</v>
      </c>
      <c r="AJ17" s="2">
        <v>141</v>
      </c>
      <c r="AK17" s="2">
        <v>0</v>
      </c>
      <c r="AL17" s="2">
        <v>250</v>
      </c>
      <c r="AM17" s="2">
        <v>0</v>
      </c>
      <c r="AN17" s="3">
        <v>52.970233917236328</v>
      </c>
      <c r="AO17" s="2">
        <v>500</v>
      </c>
      <c r="AP17" s="2">
        <v>5</v>
      </c>
      <c r="AQ17" s="2">
        <v>0</v>
      </c>
      <c r="AR17" s="1" t="s">
        <v>73</v>
      </c>
      <c r="AS17" s="2">
        <v>0</v>
      </c>
      <c r="AT17" s="1" t="s">
        <v>73</v>
      </c>
      <c r="AU17" s="2">
        <v>6435</v>
      </c>
      <c r="AV17" s="2">
        <v>2439</v>
      </c>
      <c r="AW17" s="2">
        <v>6935</v>
      </c>
      <c r="AX17" s="2">
        <v>6935</v>
      </c>
      <c r="AY17" s="2">
        <v>6935</v>
      </c>
      <c r="AZ17" s="3">
        <v>319.68</v>
      </c>
      <c r="BA17" s="3">
        <v>7254.68</v>
      </c>
      <c r="BB17" s="2">
        <v>0</v>
      </c>
      <c r="BC17" s="3">
        <v>1305.8424</v>
      </c>
      <c r="BD17" s="2">
        <v>8560.5223999999998</v>
      </c>
      <c r="BE17" s="1"/>
      <c r="BF17" s="1"/>
      <c r="BG17" s="1"/>
      <c r="BH17" s="1"/>
      <c r="BI17" s="1"/>
      <c r="BJ17" s="4">
        <v>45785.355555555558</v>
      </c>
    </row>
    <row r="18" spans="1:62">
      <c r="A18" s="2">
        <v>2025</v>
      </c>
      <c r="B18" s="2">
        <v>5</v>
      </c>
      <c r="C18" s="2">
        <v>1</v>
      </c>
      <c r="D18" s="2">
        <v>739199</v>
      </c>
      <c r="E18" s="1" t="s">
        <v>131</v>
      </c>
      <c r="F18" s="1" t="s">
        <v>63</v>
      </c>
      <c r="G18" s="1" t="s">
        <v>64</v>
      </c>
      <c r="H18" s="1" t="s">
        <v>65</v>
      </c>
      <c r="I18" s="1" t="s">
        <v>132</v>
      </c>
      <c r="J18" s="1" t="s">
        <v>67</v>
      </c>
      <c r="K18" s="1" t="s">
        <v>68</v>
      </c>
      <c r="L18" s="1" t="s">
        <v>69</v>
      </c>
      <c r="M18" s="1" t="s">
        <v>70</v>
      </c>
      <c r="N18" s="1" t="s">
        <v>133</v>
      </c>
      <c r="O18" s="1" t="s">
        <v>72</v>
      </c>
      <c r="P18" s="2">
        <v>89</v>
      </c>
      <c r="Q18" s="2">
        <v>3</v>
      </c>
      <c r="R18" s="2">
        <v>0</v>
      </c>
      <c r="S18" s="2">
        <v>60</v>
      </c>
      <c r="T18" s="2">
        <v>29</v>
      </c>
      <c r="U18" s="2">
        <v>89</v>
      </c>
      <c r="V18" s="2">
        <v>5</v>
      </c>
      <c r="W18" s="2">
        <v>0</v>
      </c>
      <c r="X18" s="2">
        <v>292</v>
      </c>
      <c r="Y18" s="2">
        <v>81</v>
      </c>
      <c r="Z18" s="2">
        <v>0</v>
      </c>
      <c r="AA18" s="2">
        <v>2484</v>
      </c>
      <c r="AB18" s="2">
        <v>0</v>
      </c>
      <c r="AC18" s="2">
        <v>155</v>
      </c>
      <c r="AD18" s="2">
        <v>0</v>
      </c>
      <c r="AE18" s="3">
        <v>108.25</v>
      </c>
      <c r="AF18" s="2">
        <v>991</v>
      </c>
      <c r="AG18" s="2">
        <v>0</v>
      </c>
      <c r="AH18" s="2">
        <v>0</v>
      </c>
      <c r="AI18" s="2">
        <v>0</v>
      </c>
      <c r="AJ18" s="2">
        <v>90</v>
      </c>
      <c r="AK18" s="2">
        <v>0</v>
      </c>
      <c r="AL18" s="2">
        <v>0</v>
      </c>
      <c r="AM18" s="2">
        <v>0</v>
      </c>
      <c r="AN18" s="3">
        <v>36.962055206298828</v>
      </c>
      <c r="AO18" s="2">
        <v>200</v>
      </c>
      <c r="AP18" s="2">
        <v>2</v>
      </c>
      <c r="AQ18" s="2">
        <v>0</v>
      </c>
      <c r="AR18" s="1" t="s">
        <v>73</v>
      </c>
      <c r="AS18" s="2">
        <v>0</v>
      </c>
      <c r="AT18" s="1" t="s">
        <v>73</v>
      </c>
      <c r="AU18" s="3">
        <v>3828.25</v>
      </c>
      <c r="AV18" s="3">
        <v>1344.25</v>
      </c>
      <c r="AW18" s="3">
        <v>4028.25</v>
      </c>
      <c r="AX18" s="3">
        <v>4028.25</v>
      </c>
      <c r="AY18" s="3">
        <v>4028.25</v>
      </c>
      <c r="AZ18" s="3">
        <v>198.72</v>
      </c>
      <c r="BA18" s="3">
        <v>4226.97</v>
      </c>
      <c r="BB18" s="2">
        <v>0</v>
      </c>
      <c r="BC18" s="3">
        <v>760.8546</v>
      </c>
      <c r="BD18" s="2">
        <v>4987.8245999999999</v>
      </c>
      <c r="BE18" s="1"/>
      <c r="BF18" s="1"/>
      <c r="BG18" s="1"/>
      <c r="BH18" s="1"/>
      <c r="BI18" s="1"/>
      <c r="BJ18" s="4">
        <v>45785.355555555558</v>
      </c>
    </row>
    <row r="19" spans="1:62">
      <c r="A19" s="2">
        <v>2025</v>
      </c>
      <c r="B19" s="2">
        <v>5</v>
      </c>
      <c r="C19" s="2">
        <v>1</v>
      </c>
      <c r="D19" s="2">
        <v>784862</v>
      </c>
      <c r="E19" s="1" t="s">
        <v>134</v>
      </c>
      <c r="F19" s="1" t="s">
        <v>63</v>
      </c>
      <c r="G19" s="1" t="s">
        <v>97</v>
      </c>
      <c r="H19" s="1" t="s">
        <v>65</v>
      </c>
      <c r="I19" s="1" t="s">
        <v>66</v>
      </c>
      <c r="J19" s="1" t="s">
        <v>67</v>
      </c>
      <c r="K19" s="1" t="s">
        <v>68</v>
      </c>
      <c r="L19" s="1" t="s">
        <v>69</v>
      </c>
      <c r="M19" s="1" t="s">
        <v>70</v>
      </c>
      <c r="N19" s="1" t="s">
        <v>71</v>
      </c>
      <c r="O19" s="1" t="s">
        <v>72</v>
      </c>
      <c r="P19" s="2">
        <v>9</v>
      </c>
      <c r="Q19" s="2">
        <v>1</v>
      </c>
      <c r="R19" s="2">
        <v>0</v>
      </c>
      <c r="S19" s="2">
        <v>9</v>
      </c>
      <c r="T19" s="2">
        <v>0</v>
      </c>
      <c r="U19" s="2">
        <v>9</v>
      </c>
      <c r="V19" s="2">
        <v>2</v>
      </c>
      <c r="W19" s="2">
        <v>0</v>
      </c>
      <c r="X19" s="3">
        <v>53.909999847412109</v>
      </c>
      <c r="Y19" s="2">
        <v>27</v>
      </c>
      <c r="Z19" s="2">
        <v>0</v>
      </c>
      <c r="AA19" s="2">
        <v>270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3">
        <v>6.3400554656982422</v>
      </c>
      <c r="AO19" s="2">
        <v>0</v>
      </c>
      <c r="AP19" s="2">
        <v>0</v>
      </c>
      <c r="AQ19" s="2">
        <v>0</v>
      </c>
      <c r="AR19" s="1" t="s">
        <v>73</v>
      </c>
      <c r="AS19" s="2">
        <v>0</v>
      </c>
      <c r="AT19" s="1" t="s">
        <v>73</v>
      </c>
      <c r="AU19" s="2">
        <v>270</v>
      </c>
      <c r="AV19" s="2">
        <v>0</v>
      </c>
      <c r="AW19" s="2">
        <v>270</v>
      </c>
      <c r="AX19" s="2">
        <v>270</v>
      </c>
      <c r="AY19" s="2">
        <v>270</v>
      </c>
      <c r="AZ19" s="3">
        <v>21.6</v>
      </c>
      <c r="BA19" s="3">
        <v>291.60000000000002</v>
      </c>
      <c r="BB19" s="2">
        <v>0</v>
      </c>
      <c r="BC19" s="3">
        <v>52.488</v>
      </c>
      <c r="BD19" s="2">
        <v>344.08800000000002</v>
      </c>
      <c r="BE19" s="1" t="s">
        <v>135</v>
      </c>
      <c r="BF19" s="1" t="s">
        <v>136</v>
      </c>
      <c r="BG19" s="1" t="s">
        <v>137</v>
      </c>
      <c r="BH19" s="1" t="s">
        <v>138</v>
      </c>
      <c r="BI19" s="5">
        <v>45782</v>
      </c>
      <c r="BJ19" s="4">
        <v>45785.355555555558</v>
      </c>
    </row>
    <row r="20" spans="1:62">
      <c r="A20" s="2">
        <v>2025</v>
      </c>
      <c r="B20" s="2">
        <v>5</v>
      </c>
      <c r="C20" s="2">
        <v>1</v>
      </c>
      <c r="D20" s="2">
        <v>754583</v>
      </c>
      <c r="E20" s="1" t="s">
        <v>139</v>
      </c>
      <c r="F20" s="1" t="s">
        <v>63</v>
      </c>
      <c r="G20" s="1" t="s">
        <v>64</v>
      </c>
      <c r="H20" s="1" t="s">
        <v>65</v>
      </c>
      <c r="I20" s="1" t="s">
        <v>66</v>
      </c>
      <c r="J20" s="1" t="s">
        <v>67</v>
      </c>
      <c r="K20" s="1" t="s">
        <v>68</v>
      </c>
      <c r="L20" s="1" t="s">
        <v>69</v>
      </c>
      <c r="M20" s="1" t="s">
        <v>70</v>
      </c>
      <c r="N20" s="1" t="s">
        <v>71</v>
      </c>
      <c r="O20" s="1" t="s">
        <v>72</v>
      </c>
      <c r="P20" s="2">
        <v>143</v>
      </c>
      <c r="Q20" s="2">
        <v>2</v>
      </c>
      <c r="R20" s="2">
        <v>0</v>
      </c>
      <c r="S20" s="2">
        <v>96</v>
      </c>
      <c r="T20" s="2">
        <v>47</v>
      </c>
      <c r="U20" s="2">
        <v>143</v>
      </c>
      <c r="V20" s="2">
        <v>7</v>
      </c>
      <c r="W20" s="2">
        <v>0</v>
      </c>
      <c r="X20" s="3">
        <v>581.20001220703125</v>
      </c>
      <c r="Y20" s="2">
        <v>54</v>
      </c>
      <c r="Z20" s="2">
        <v>0</v>
      </c>
      <c r="AA20" s="2">
        <v>3915</v>
      </c>
      <c r="AB20" s="2">
        <v>0</v>
      </c>
      <c r="AC20" s="2">
        <v>0</v>
      </c>
      <c r="AD20" s="2">
        <v>0</v>
      </c>
      <c r="AE20" s="2">
        <v>0</v>
      </c>
      <c r="AF20" s="2">
        <v>2028</v>
      </c>
      <c r="AG20" s="2">
        <v>0</v>
      </c>
      <c r="AH20" s="2">
        <v>0</v>
      </c>
      <c r="AI20" s="2">
        <v>0</v>
      </c>
      <c r="AJ20" s="2">
        <v>141</v>
      </c>
      <c r="AK20" s="2">
        <v>0</v>
      </c>
      <c r="AL20" s="2">
        <v>250</v>
      </c>
      <c r="AM20" s="2">
        <v>0</v>
      </c>
      <c r="AN20" s="3">
        <v>49.839488983154297</v>
      </c>
      <c r="AO20" s="2">
        <v>500</v>
      </c>
      <c r="AP20" s="2">
        <v>5</v>
      </c>
      <c r="AQ20" s="2">
        <v>0</v>
      </c>
      <c r="AR20" s="1" t="s">
        <v>73</v>
      </c>
      <c r="AS20" s="2">
        <v>0</v>
      </c>
      <c r="AT20" s="1" t="s">
        <v>73</v>
      </c>
      <c r="AU20" s="2">
        <v>6334</v>
      </c>
      <c r="AV20" s="2">
        <v>2419</v>
      </c>
      <c r="AW20" s="2">
        <v>6834</v>
      </c>
      <c r="AX20" s="2">
        <v>6834</v>
      </c>
      <c r="AY20" s="2">
        <v>6834</v>
      </c>
      <c r="AZ20" s="3">
        <v>313.2</v>
      </c>
      <c r="BA20" s="3">
        <v>7147.2</v>
      </c>
      <c r="BB20" s="2">
        <v>0</v>
      </c>
      <c r="BC20" s="3">
        <v>1286.4959999999999</v>
      </c>
      <c r="BD20" s="2">
        <v>8433.6959999999999</v>
      </c>
      <c r="BE20" s="1"/>
      <c r="BF20" s="1"/>
      <c r="BG20" s="1"/>
      <c r="BH20" s="1"/>
      <c r="BI20" s="1"/>
      <c r="BJ20" s="4">
        <v>45785.355555555558</v>
      </c>
    </row>
    <row r="21" spans="1:62">
      <c r="A21" s="2">
        <v>2025</v>
      </c>
      <c r="B21" s="2">
        <v>5</v>
      </c>
      <c r="C21" s="2">
        <v>1</v>
      </c>
      <c r="D21" s="2">
        <v>741275</v>
      </c>
      <c r="E21" s="1" t="s">
        <v>140</v>
      </c>
      <c r="F21" s="1" t="s">
        <v>63</v>
      </c>
      <c r="G21" s="1" t="s">
        <v>79</v>
      </c>
      <c r="H21" s="1" t="s">
        <v>65</v>
      </c>
      <c r="I21" s="1" t="s">
        <v>141</v>
      </c>
      <c r="J21" s="1" t="s">
        <v>67</v>
      </c>
      <c r="K21" s="1" t="s">
        <v>68</v>
      </c>
      <c r="L21" s="1" t="s">
        <v>69</v>
      </c>
      <c r="M21" s="1" t="s">
        <v>70</v>
      </c>
      <c r="N21" s="1" t="s">
        <v>142</v>
      </c>
      <c r="O21" s="1" t="s">
        <v>72</v>
      </c>
      <c r="P21" s="2">
        <v>141</v>
      </c>
      <c r="Q21" s="2">
        <v>1</v>
      </c>
      <c r="R21" s="2">
        <v>0</v>
      </c>
      <c r="S21" s="2">
        <v>95</v>
      </c>
      <c r="T21" s="2">
        <v>46</v>
      </c>
      <c r="U21" s="2">
        <v>141</v>
      </c>
      <c r="V21" s="2">
        <v>6</v>
      </c>
      <c r="W21" s="2">
        <v>0</v>
      </c>
      <c r="X21" s="3">
        <v>680.42999267578125</v>
      </c>
      <c r="Y21" s="2">
        <v>30</v>
      </c>
      <c r="Z21" s="2">
        <v>0</v>
      </c>
      <c r="AA21" s="2">
        <v>4260</v>
      </c>
      <c r="AB21" s="2">
        <v>0</v>
      </c>
      <c r="AC21" s="2">
        <v>1410</v>
      </c>
      <c r="AD21" s="2">
        <v>0</v>
      </c>
      <c r="AE21" s="3">
        <v>328.95001220703125</v>
      </c>
      <c r="AF21" s="2">
        <v>2380</v>
      </c>
      <c r="AG21" s="2">
        <v>0</v>
      </c>
      <c r="AH21" s="2">
        <v>0</v>
      </c>
      <c r="AI21" s="2">
        <v>60</v>
      </c>
      <c r="AJ21" s="2">
        <v>138</v>
      </c>
      <c r="AK21" s="2">
        <v>0</v>
      </c>
      <c r="AL21" s="2">
        <v>250</v>
      </c>
      <c r="AM21" s="2">
        <v>0</v>
      </c>
      <c r="AN21" s="3">
        <v>45.464168548583984</v>
      </c>
      <c r="AO21" s="2">
        <v>500</v>
      </c>
      <c r="AP21" s="2">
        <v>5</v>
      </c>
      <c r="AQ21" s="2">
        <v>1000</v>
      </c>
      <c r="AR21" s="1" t="s">
        <v>143</v>
      </c>
      <c r="AS21" s="2">
        <v>70</v>
      </c>
      <c r="AT21" s="1" t="s">
        <v>144</v>
      </c>
      <c r="AU21" s="3">
        <v>8826.9501953125</v>
      </c>
      <c r="AV21" s="3">
        <v>4566.9501953125</v>
      </c>
      <c r="AW21" s="3">
        <v>9326.9501953125</v>
      </c>
      <c r="AX21" s="3">
        <v>10326.9501953125</v>
      </c>
      <c r="AY21" s="3">
        <v>10256.9501953125</v>
      </c>
      <c r="AZ21" s="3">
        <v>340.8</v>
      </c>
      <c r="BA21" s="3">
        <v>10597.750195312499</v>
      </c>
      <c r="BB21" s="2">
        <v>0</v>
      </c>
      <c r="BC21" s="3">
        <v>1907.5950351562499</v>
      </c>
      <c r="BD21" s="2">
        <v>12505.345230468749</v>
      </c>
      <c r="BE21" s="1"/>
      <c r="BF21" s="1"/>
      <c r="BG21" s="1"/>
      <c r="BH21" s="1"/>
      <c r="BI21" s="1"/>
      <c r="BJ21" s="4">
        <v>45785.355555555558</v>
      </c>
    </row>
    <row r="22" spans="1:62">
      <c r="A22" s="2">
        <v>2025</v>
      </c>
      <c r="B22" s="2">
        <v>5</v>
      </c>
      <c r="C22" s="2">
        <v>1</v>
      </c>
      <c r="D22" s="2">
        <v>757911</v>
      </c>
      <c r="E22" s="1" t="s">
        <v>145</v>
      </c>
      <c r="F22" s="1" t="s">
        <v>63</v>
      </c>
      <c r="G22" s="1" t="s">
        <v>64</v>
      </c>
      <c r="H22" s="1" t="s">
        <v>65</v>
      </c>
      <c r="I22" s="1" t="s">
        <v>123</v>
      </c>
      <c r="J22" s="1" t="s">
        <v>67</v>
      </c>
      <c r="K22" s="1" t="s">
        <v>68</v>
      </c>
      <c r="L22" s="1" t="s">
        <v>69</v>
      </c>
      <c r="M22" s="1" t="s">
        <v>70</v>
      </c>
      <c r="N22" s="1" t="s">
        <v>124</v>
      </c>
      <c r="O22" s="1" t="s">
        <v>72</v>
      </c>
      <c r="P22" s="2">
        <v>219</v>
      </c>
      <c r="Q22" s="2">
        <v>0</v>
      </c>
      <c r="R22" s="2">
        <v>0</v>
      </c>
      <c r="S22" s="2">
        <v>151</v>
      </c>
      <c r="T22" s="2">
        <v>68</v>
      </c>
      <c r="U22" s="2">
        <v>219</v>
      </c>
      <c r="V22" s="2">
        <v>7</v>
      </c>
      <c r="W22" s="2">
        <v>0</v>
      </c>
      <c r="X22" s="3">
        <v>749.97998046875</v>
      </c>
      <c r="Y22" s="2">
        <v>0</v>
      </c>
      <c r="Z22" s="2">
        <v>0</v>
      </c>
      <c r="AA22" s="2">
        <v>5913</v>
      </c>
      <c r="AB22" s="2">
        <v>0</v>
      </c>
      <c r="AC22" s="2">
        <v>70</v>
      </c>
      <c r="AD22" s="2">
        <v>0</v>
      </c>
      <c r="AE22" s="2">
        <v>0</v>
      </c>
      <c r="AF22" s="2">
        <v>3777</v>
      </c>
      <c r="AG22" s="2">
        <v>0</v>
      </c>
      <c r="AH22" s="2">
        <v>0</v>
      </c>
      <c r="AI22" s="2">
        <v>0</v>
      </c>
      <c r="AJ22" s="2">
        <v>204</v>
      </c>
      <c r="AK22" s="2">
        <v>0</v>
      </c>
      <c r="AL22" s="2">
        <v>800</v>
      </c>
      <c r="AM22" s="2">
        <v>0</v>
      </c>
      <c r="AN22" s="2">
        <v>63</v>
      </c>
      <c r="AO22" s="2">
        <v>0</v>
      </c>
      <c r="AP22" s="2">
        <v>0</v>
      </c>
      <c r="AQ22" s="2">
        <v>0</v>
      </c>
      <c r="AR22" s="1" t="s">
        <v>73</v>
      </c>
      <c r="AS22" s="2">
        <v>357</v>
      </c>
      <c r="AT22" s="1" t="s">
        <v>126</v>
      </c>
      <c r="AU22" s="2">
        <v>10764</v>
      </c>
      <c r="AV22" s="2">
        <v>4851</v>
      </c>
      <c r="AW22" s="2">
        <v>10764</v>
      </c>
      <c r="AX22" s="2">
        <v>10764</v>
      </c>
      <c r="AY22" s="2">
        <v>10407</v>
      </c>
      <c r="AZ22" s="3">
        <v>473.04</v>
      </c>
      <c r="BA22" s="3">
        <v>10880.04</v>
      </c>
      <c r="BB22" s="2">
        <v>0</v>
      </c>
      <c r="BC22" s="3">
        <v>1958.4072000000001</v>
      </c>
      <c r="BD22" s="2">
        <v>12838.447200000001</v>
      </c>
      <c r="BE22" s="1"/>
      <c r="BF22" s="1"/>
      <c r="BG22" s="1"/>
      <c r="BH22" s="1"/>
      <c r="BI22" s="1"/>
      <c r="BJ22" s="4">
        <v>45785.355555555558</v>
      </c>
    </row>
    <row r="23" spans="1:62">
      <c r="A23" s="2">
        <v>2025</v>
      </c>
      <c r="B23" s="2">
        <v>5</v>
      </c>
      <c r="C23" s="2">
        <v>1</v>
      </c>
      <c r="D23" s="2">
        <v>782412</v>
      </c>
      <c r="E23" s="1" t="s">
        <v>146</v>
      </c>
      <c r="F23" s="1" t="s">
        <v>63</v>
      </c>
      <c r="G23" s="1" t="s">
        <v>79</v>
      </c>
      <c r="H23" s="1" t="s">
        <v>65</v>
      </c>
      <c r="I23" s="1" t="s">
        <v>123</v>
      </c>
      <c r="J23" s="1" t="s">
        <v>67</v>
      </c>
      <c r="K23" s="1" t="s">
        <v>68</v>
      </c>
      <c r="L23" s="1" t="s">
        <v>69</v>
      </c>
      <c r="M23" s="1" t="s">
        <v>70</v>
      </c>
      <c r="N23" s="1" t="s">
        <v>147</v>
      </c>
      <c r="O23" s="1" t="s">
        <v>72</v>
      </c>
      <c r="P23" s="2">
        <v>21</v>
      </c>
      <c r="Q23" s="2">
        <v>0</v>
      </c>
      <c r="R23" s="2">
        <v>0</v>
      </c>
      <c r="S23" s="2">
        <v>21</v>
      </c>
      <c r="T23" s="2">
        <v>0</v>
      </c>
      <c r="U23" s="2">
        <v>21</v>
      </c>
      <c r="V23" s="2">
        <v>2</v>
      </c>
      <c r="W23" s="2">
        <v>0</v>
      </c>
      <c r="X23" s="3">
        <v>73.5</v>
      </c>
      <c r="Y23" s="2">
        <v>0</v>
      </c>
      <c r="Z23" s="2">
        <v>0</v>
      </c>
      <c r="AA23" s="2">
        <v>630</v>
      </c>
      <c r="AB23" s="2">
        <v>0</v>
      </c>
      <c r="AC23" s="2">
        <v>0</v>
      </c>
      <c r="AD23" s="2">
        <v>0</v>
      </c>
      <c r="AE23" s="2">
        <v>0</v>
      </c>
      <c r="AF23" s="2">
        <v>240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3">
        <v>7.2666668891906738</v>
      </c>
      <c r="AO23" s="2">
        <v>0</v>
      </c>
      <c r="AP23" s="2">
        <v>0</v>
      </c>
      <c r="AQ23" s="2">
        <v>0</v>
      </c>
      <c r="AR23" s="1" t="s">
        <v>73</v>
      </c>
      <c r="AS23" s="2">
        <v>0</v>
      </c>
      <c r="AT23" s="1" t="s">
        <v>73</v>
      </c>
      <c r="AU23" s="2">
        <v>870</v>
      </c>
      <c r="AV23" s="2">
        <v>240</v>
      </c>
      <c r="AW23" s="2">
        <v>870</v>
      </c>
      <c r="AX23" s="2">
        <v>870</v>
      </c>
      <c r="AY23" s="2">
        <v>870</v>
      </c>
      <c r="AZ23" s="3">
        <v>50.4</v>
      </c>
      <c r="BA23" s="3">
        <v>920.4</v>
      </c>
      <c r="BB23" s="2">
        <v>0</v>
      </c>
      <c r="BC23" s="3">
        <v>165.672</v>
      </c>
      <c r="BD23" s="2">
        <v>1086.0719999999999</v>
      </c>
      <c r="BE23" s="1" t="s">
        <v>148</v>
      </c>
      <c r="BF23" s="1" t="s">
        <v>149</v>
      </c>
      <c r="BG23" s="1" t="s">
        <v>150</v>
      </c>
      <c r="BH23" s="1" t="s">
        <v>101</v>
      </c>
      <c r="BI23" s="5">
        <v>45776</v>
      </c>
      <c r="BJ23" s="4">
        <v>45785.355555555558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activeCell="H1" sqref="H1"/>
    </sheetView>
  </sheetViews>
  <sheetFormatPr defaultRowHeight="14.25"/>
  <cols>
    <col min="1" max="1" width="14" customWidth="1"/>
    <col min="2" max="2" width="39.125" bestFit="1" customWidth="1"/>
    <col min="3" max="3" width="27" bestFit="1" customWidth="1"/>
    <col min="4" max="4" width="8.875" customWidth="1"/>
    <col min="5" max="5" width="17.875" customWidth="1"/>
  </cols>
  <sheetData>
    <row r="1" spans="1:8" ht="27" customHeight="1">
      <c r="A1" s="6" t="s">
        <v>3</v>
      </c>
      <c r="B1" s="6" t="s">
        <v>4</v>
      </c>
      <c r="C1" s="6" t="s">
        <v>8</v>
      </c>
      <c r="D1" s="6" t="s">
        <v>15</v>
      </c>
      <c r="E1" s="6" t="s">
        <v>50</v>
      </c>
      <c r="F1" s="6" t="s">
        <v>151</v>
      </c>
      <c r="G1" s="6" t="s">
        <v>152</v>
      </c>
      <c r="H1" s="6" t="s">
        <v>153</v>
      </c>
    </row>
    <row r="2" spans="1:8">
      <c r="A2" s="7">
        <v>753406</v>
      </c>
      <c r="B2" s="8" t="s">
        <v>62</v>
      </c>
      <c r="C2" s="8" t="s">
        <v>66</v>
      </c>
      <c r="D2" s="7">
        <v>55</v>
      </c>
      <c r="E2" s="7">
        <v>2110</v>
      </c>
      <c r="F2" s="10">
        <v>0</v>
      </c>
      <c r="G2" s="10">
        <f>220*7</f>
        <v>1540</v>
      </c>
      <c r="H2" s="11">
        <f>E2-F2-G2</f>
        <v>570</v>
      </c>
    </row>
    <row r="3" spans="1:8">
      <c r="A3" s="7">
        <v>739946</v>
      </c>
      <c r="B3" s="8" t="s">
        <v>74</v>
      </c>
      <c r="C3" s="8" t="s">
        <v>75</v>
      </c>
      <c r="D3" s="7">
        <v>14</v>
      </c>
      <c r="E3" s="7">
        <v>403</v>
      </c>
      <c r="F3" s="10">
        <v>0</v>
      </c>
      <c r="G3" s="10">
        <f t="shared" ref="G3:G20" si="0">220*7</f>
        <v>1540</v>
      </c>
      <c r="H3" s="11">
        <f t="shared" ref="H3:H23" si="1">E3-F3-G3</f>
        <v>-1137</v>
      </c>
    </row>
    <row r="4" spans="1:8">
      <c r="A4" s="7">
        <v>755539</v>
      </c>
      <c r="B4" s="8" t="s">
        <v>77</v>
      </c>
      <c r="C4" s="8" t="s">
        <v>66</v>
      </c>
      <c r="D4" s="7">
        <v>159</v>
      </c>
      <c r="E4" s="7">
        <v>7584</v>
      </c>
      <c r="F4" s="10">
        <v>0</v>
      </c>
      <c r="G4" s="10">
        <f t="shared" si="0"/>
        <v>1540</v>
      </c>
      <c r="H4" s="11">
        <f t="shared" si="1"/>
        <v>6044</v>
      </c>
    </row>
    <row r="5" spans="1:8">
      <c r="A5" s="7">
        <v>784299</v>
      </c>
      <c r="B5" s="8" t="s">
        <v>78</v>
      </c>
      <c r="C5" s="8" t="s">
        <v>80</v>
      </c>
      <c r="D5" s="7">
        <v>59</v>
      </c>
      <c r="E5" s="7">
        <v>3031</v>
      </c>
      <c r="F5" s="10">
        <v>0</v>
      </c>
      <c r="G5" s="10">
        <f>220*2</f>
        <v>440</v>
      </c>
      <c r="H5" s="11">
        <f t="shared" si="1"/>
        <v>2591</v>
      </c>
    </row>
    <row r="6" spans="1:8">
      <c r="A6" s="7">
        <v>746897</v>
      </c>
      <c r="B6" s="8" t="s">
        <v>86</v>
      </c>
      <c r="C6" s="8" t="s">
        <v>66</v>
      </c>
      <c r="D6" s="7">
        <v>124</v>
      </c>
      <c r="E6" s="7">
        <v>6192</v>
      </c>
      <c r="F6" s="10">
        <v>0</v>
      </c>
      <c r="G6" s="10">
        <f t="shared" si="0"/>
        <v>1540</v>
      </c>
      <c r="H6" s="11">
        <f t="shared" si="1"/>
        <v>4652</v>
      </c>
    </row>
    <row r="7" spans="1:8">
      <c r="A7" s="7">
        <v>780996</v>
      </c>
      <c r="B7" s="8" t="s">
        <v>88</v>
      </c>
      <c r="C7" s="8" t="s">
        <v>89</v>
      </c>
      <c r="D7" s="7">
        <v>67</v>
      </c>
      <c r="E7" s="9">
        <v>2425.110107421875</v>
      </c>
      <c r="F7" s="10">
        <v>0</v>
      </c>
      <c r="G7" s="10">
        <f t="shared" si="0"/>
        <v>1540</v>
      </c>
      <c r="H7" s="11">
        <f t="shared" si="1"/>
        <v>885.110107421875</v>
      </c>
    </row>
    <row r="8" spans="1:8">
      <c r="A8" s="7">
        <v>784779</v>
      </c>
      <c r="B8" s="8" t="s">
        <v>96</v>
      </c>
      <c r="C8" s="8" t="s">
        <v>66</v>
      </c>
      <c r="D8" s="7">
        <v>7</v>
      </c>
      <c r="E8" s="7">
        <v>189</v>
      </c>
      <c r="F8" s="10">
        <v>0</v>
      </c>
      <c r="G8" s="10">
        <f>220*1</f>
        <v>220</v>
      </c>
      <c r="H8" s="11">
        <f t="shared" si="1"/>
        <v>-31</v>
      </c>
    </row>
    <row r="9" spans="1:8">
      <c r="A9" s="7">
        <v>784832</v>
      </c>
      <c r="B9" s="8" t="s">
        <v>102</v>
      </c>
      <c r="C9" s="8" t="s">
        <v>66</v>
      </c>
      <c r="D9" s="7">
        <v>30</v>
      </c>
      <c r="E9" s="7">
        <v>1272</v>
      </c>
      <c r="F9" s="10">
        <v>0</v>
      </c>
      <c r="G9" s="10">
        <f>220*2</f>
        <v>440</v>
      </c>
      <c r="H9" s="11">
        <f t="shared" si="1"/>
        <v>832</v>
      </c>
    </row>
    <row r="10" spans="1:8">
      <c r="A10" s="7">
        <v>744645</v>
      </c>
      <c r="B10" s="8" t="s">
        <v>107</v>
      </c>
      <c r="C10" s="8" t="s">
        <v>66</v>
      </c>
      <c r="D10" s="7">
        <v>122</v>
      </c>
      <c r="E10" s="7">
        <v>5674</v>
      </c>
      <c r="F10" s="10">
        <v>0</v>
      </c>
      <c r="G10" s="10">
        <f t="shared" si="0"/>
        <v>1540</v>
      </c>
      <c r="H10" s="11">
        <f t="shared" si="1"/>
        <v>4134</v>
      </c>
    </row>
    <row r="11" spans="1:8">
      <c r="A11" s="7">
        <v>756144</v>
      </c>
      <c r="B11" s="8" t="s">
        <v>108</v>
      </c>
      <c r="C11" s="8" t="s">
        <v>109</v>
      </c>
      <c r="D11" s="7">
        <v>202</v>
      </c>
      <c r="E11" s="9">
        <v>11921.1396484375</v>
      </c>
      <c r="F11" s="10">
        <v>2000</v>
      </c>
      <c r="G11" s="10">
        <f>200*7</f>
        <v>1400</v>
      </c>
      <c r="H11" s="11">
        <f t="shared" si="1"/>
        <v>8521.1396484375</v>
      </c>
    </row>
    <row r="12" spans="1:8">
      <c r="A12" s="7">
        <v>756418</v>
      </c>
      <c r="B12" s="8" t="s">
        <v>111</v>
      </c>
      <c r="C12" s="8" t="s">
        <v>112</v>
      </c>
      <c r="D12" s="7">
        <v>68</v>
      </c>
      <c r="E12" s="7">
        <v>2548</v>
      </c>
      <c r="F12" s="10">
        <v>0</v>
      </c>
      <c r="G12" s="10">
        <f t="shared" si="0"/>
        <v>1540</v>
      </c>
      <c r="H12" s="11">
        <f t="shared" si="1"/>
        <v>1008</v>
      </c>
    </row>
    <row r="13" spans="1:8">
      <c r="A13" s="7">
        <v>784269</v>
      </c>
      <c r="B13" s="8" t="s">
        <v>115</v>
      </c>
      <c r="C13" s="8" t="s">
        <v>116</v>
      </c>
      <c r="D13" s="7">
        <v>10</v>
      </c>
      <c r="E13" s="9">
        <v>359.8800048828125</v>
      </c>
      <c r="F13" s="10">
        <v>0</v>
      </c>
      <c r="G13" s="10">
        <f>220*1</f>
        <v>220</v>
      </c>
      <c r="H13" s="11">
        <f t="shared" si="1"/>
        <v>139.8800048828125</v>
      </c>
    </row>
    <row r="14" spans="1:8">
      <c r="A14" s="7">
        <v>763173</v>
      </c>
      <c r="B14" s="8" t="s">
        <v>122</v>
      </c>
      <c r="C14" s="8" t="s">
        <v>123</v>
      </c>
      <c r="D14" s="7">
        <v>265</v>
      </c>
      <c r="E14" s="7">
        <v>18894</v>
      </c>
      <c r="F14" s="10">
        <v>0</v>
      </c>
      <c r="G14" s="10">
        <f>200*7</f>
        <v>1400</v>
      </c>
      <c r="H14" s="11">
        <f t="shared" si="1"/>
        <v>17494</v>
      </c>
    </row>
    <row r="15" spans="1:8">
      <c r="A15" s="7">
        <v>738700</v>
      </c>
      <c r="B15" s="8" t="s">
        <v>127</v>
      </c>
      <c r="C15" s="8" t="s">
        <v>75</v>
      </c>
      <c r="D15" s="7">
        <v>99</v>
      </c>
      <c r="E15" s="9">
        <v>5030.27001953125</v>
      </c>
      <c r="F15" s="10">
        <v>0</v>
      </c>
      <c r="G15" s="10">
        <f>220*0</f>
        <v>0</v>
      </c>
      <c r="H15" s="11">
        <f t="shared" si="1"/>
        <v>5030.27001953125</v>
      </c>
    </row>
    <row r="16" spans="1:8">
      <c r="A16" s="7">
        <v>754658</v>
      </c>
      <c r="B16" s="8" t="s">
        <v>129</v>
      </c>
      <c r="C16" s="8" t="s">
        <v>123</v>
      </c>
      <c r="D16" s="7">
        <v>13</v>
      </c>
      <c r="E16" s="7">
        <v>416</v>
      </c>
      <c r="F16" s="10">
        <v>0</v>
      </c>
      <c r="G16" s="10">
        <f>220*2</f>
        <v>440</v>
      </c>
      <c r="H16" s="11">
        <f t="shared" si="1"/>
        <v>-24</v>
      </c>
    </row>
    <row r="17" spans="1:8">
      <c r="A17" s="7">
        <v>735193</v>
      </c>
      <c r="B17" s="8" t="s">
        <v>130</v>
      </c>
      <c r="C17" s="8" t="s">
        <v>66</v>
      </c>
      <c r="D17" s="7">
        <v>147</v>
      </c>
      <c r="E17" s="7">
        <v>6935</v>
      </c>
      <c r="F17" s="10">
        <v>500</v>
      </c>
      <c r="G17" s="10">
        <f t="shared" si="0"/>
        <v>1540</v>
      </c>
      <c r="H17" s="11">
        <f t="shared" si="1"/>
        <v>4895</v>
      </c>
    </row>
    <row r="18" spans="1:8">
      <c r="A18" s="7">
        <v>739199</v>
      </c>
      <c r="B18" s="8" t="s">
        <v>131</v>
      </c>
      <c r="C18" s="8" t="s">
        <v>132</v>
      </c>
      <c r="D18" s="7">
        <v>89</v>
      </c>
      <c r="E18" s="9">
        <v>4028.25</v>
      </c>
      <c r="F18" s="10">
        <v>0</v>
      </c>
      <c r="G18" s="10">
        <f t="shared" si="0"/>
        <v>1540</v>
      </c>
      <c r="H18" s="11">
        <f t="shared" si="1"/>
        <v>2488.25</v>
      </c>
    </row>
    <row r="19" spans="1:8">
      <c r="A19" s="7">
        <v>784862</v>
      </c>
      <c r="B19" s="8" t="s">
        <v>134</v>
      </c>
      <c r="C19" s="8" t="s">
        <v>66</v>
      </c>
      <c r="D19" s="7">
        <v>9</v>
      </c>
      <c r="E19" s="7">
        <v>270</v>
      </c>
      <c r="F19" s="10">
        <v>0</v>
      </c>
      <c r="G19" s="10">
        <f>220*1</f>
        <v>220</v>
      </c>
      <c r="H19" s="11">
        <f t="shared" si="1"/>
        <v>50</v>
      </c>
    </row>
    <row r="20" spans="1:8">
      <c r="A20" s="7">
        <v>754583</v>
      </c>
      <c r="B20" s="8" t="s">
        <v>139</v>
      </c>
      <c r="C20" s="8" t="s">
        <v>66</v>
      </c>
      <c r="D20" s="7">
        <v>143</v>
      </c>
      <c r="E20" s="7">
        <v>6834</v>
      </c>
      <c r="F20" s="10">
        <v>0</v>
      </c>
      <c r="G20" s="10">
        <f t="shared" si="0"/>
        <v>1540</v>
      </c>
      <c r="H20" s="11">
        <f t="shared" si="1"/>
        <v>5294</v>
      </c>
    </row>
    <row r="21" spans="1:8">
      <c r="A21" s="7">
        <v>741275</v>
      </c>
      <c r="B21" s="8" t="s">
        <v>140</v>
      </c>
      <c r="C21" s="8" t="s">
        <v>141</v>
      </c>
      <c r="D21" s="7">
        <v>141</v>
      </c>
      <c r="E21" s="9">
        <v>10256.9501953125</v>
      </c>
      <c r="F21" s="10">
        <v>0</v>
      </c>
      <c r="G21" s="10">
        <f>220*5</f>
        <v>1100</v>
      </c>
      <c r="H21" s="11">
        <f t="shared" si="1"/>
        <v>9156.9501953125</v>
      </c>
    </row>
    <row r="22" spans="1:8">
      <c r="A22" s="7">
        <v>757911</v>
      </c>
      <c r="B22" s="8" t="s">
        <v>145</v>
      </c>
      <c r="C22" s="8" t="s">
        <v>123</v>
      </c>
      <c r="D22" s="7">
        <v>219</v>
      </c>
      <c r="E22" s="7">
        <v>10407</v>
      </c>
      <c r="F22" s="10">
        <v>0</v>
      </c>
      <c r="G22" s="10">
        <f>200*7</f>
        <v>1400</v>
      </c>
      <c r="H22" s="11">
        <f t="shared" si="1"/>
        <v>9007</v>
      </c>
    </row>
    <row r="23" spans="1:8">
      <c r="A23" s="7">
        <v>782412</v>
      </c>
      <c r="B23" s="8" t="s">
        <v>146</v>
      </c>
      <c r="C23" s="8" t="s">
        <v>123</v>
      </c>
      <c r="D23" s="7">
        <v>21</v>
      </c>
      <c r="E23" s="7">
        <v>870</v>
      </c>
      <c r="F23" s="10">
        <v>0</v>
      </c>
      <c r="G23" s="10">
        <f>220*4</f>
        <v>880</v>
      </c>
      <c r="H23" s="11">
        <f t="shared" si="1"/>
        <v>-10</v>
      </c>
    </row>
    <row r="24" spans="1:8">
      <c r="D24" s="12">
        <f>SUM(D2:D23)</f>
        <v>2063</v>
      </c>
      <c r="E24" s="12">
        <f t="shared" ref="E24:H24" si="2">SUM(E2:E23)</f>
        <v>107650.59997558594</v>
      </c>
      <c r="F24" s="12">
        <f t="shared" si="2"/>
        <v>2500</v>
      </c>
      <c r="G24" s="12">
        <f t="shared" si="2"/>
        <v>23560</v>
      </c>
      <c r="H24" s="12">
        <f t="shared" si="2"/>
        <v>81590.599975585938</v>
      </c>
    </row>
  </sheetData>
  <autoFilter ref="A1:H23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selection activeCell="D16" sqref="D16"/>
    </sheetView>
  </sheetViews>
  <sheetFormatPr defaultRowHeight="14.25"/>
  <cols>
    <col min="2" max="2" width="32" customWidth="1"/>
    <col min="3" max="3" width="19.5" bestFit="1" customWidth="1"/>
    <col min="4" max="4" width="7.625" customWidth="1"/>
    <col min="5" max="5" width="8.375" customWidth="1"/>
    <col min="6" max="6" width="23" bestFit="1" customWidth="1"/>
    <col min="7" max="7" width="16.25" bestFit="1" customWidth="1"/>
    <col min="8" max="8" width="11.75" bestFit="1" customWidth="1"/>
    <col min="9" max="9" width="24" bestFit="1" customWidth="1"/>
  </cols>
  <sheetData>
    <row r="1" spans="1:10" ht="25.5">
      <c r="A1" s="13" t="s">
        <v>197</v>
      </c>
      <c r="B1" s="18" t="s">
        <v>4</v>
      </c>
      <c r="C1" s="18" t="s">
        <v>8</v>
      </c>
      <c r="D1" s="18" t="s">
        <v>15</v>
      </c>
      <c r="E1" s="14" t="s">
        <v>154</v>
      </c>
      <c r="F1" s="15" t="s">
        <v>155</v>
      </c>
      <c r="G1" s="15" t="s">
        <v>156</v>
      </c>
      <c r="H1" s="15" t="s">
        <v>157</v>
      </c>
      <c r="I1" s="15" t="s">
        <v>158</v>
      </c>
      <c r="J1" s="15" t="s">
        <v>201</v>
      </c>
    </row>
    <row r="2" spans="1:10">
      <c r="A2" s="17">
        <v>753406</v>
      </c>
      <c r="B2" s="17" t="s">
        <v>62</v>
      </c>
      <c r="C2" s="17" t="s">
        <v>66</v>
      </c>
      <c r="D2" s="19">
        <v>55</v>
      </c>
      <c r="E2" s="20">
        <v>570</v>
      </c>
      <c r="F2" s="16" t="s">
        <v>159</v>
      </c>
      <c r="G2" s="21">
        <v>48178100014260</v>
      </c>
      <c r="H2" s="16" t="s">
        <v>160</v>
      </c>
      <c r="I2" s="16" t="s">
        <v>161</v>
      </c>
      <c r="J2" s="10"/>
    </row>
    <row r="3" spans="1:10">
      <c r="A3" s="17">
        <v>739946</v>
      </c>
      <c r="B3" s="17" t="s">
        <v>74</v>
      </c>
      <c r="C3" s="17" t="s">
        <v>75</v>
      </c>
      <c r="D3" s="19">
        <v>14</v>
      </c>
      <c r="E3" s="20">
        <v>-1137</v>
      </c>
      <c r="F3" s="16" t="s">
        <v>162</v>
      </c>
      <c r="G3" s="21">
        <v>76011100000934</v>
      </c>
      <c r="H3" s="16" t="s">
        <v>163</v>
      </c>
      <c r="I3" s="16" t="s">
        <v>164</v>
      </c>
      <c r="J3" s="10" t="s">
        <v>202</v>
      </c>
    </row>
    <row r="4" spans="1:10">
      <c r="A4" s="17">
        <v>755539</v>
      </c>
      <c r="B4" s="17" t="s">
        <v>77</v>
      </c>
      <c r="C4" s="17" t="s">
        <v>66</v>
      </c>
      <c r="D4" s="19">
        <v>159</v>
      </c>
      <c r="E4" s="20">
        <v>6044</v>
      </c>
      <c r="F4" s="16" t="s">
        <v>165</v>
      </c>
      <c r="G4" s="21">
        <v>50100678757614</v>
      </c>
      <c r="H4" s="16" t="s">
        <v>166</v>
      </c>
      <c r="I4" s="16" t="s">
        <v>167</v>
      </c>
      <c r="J4" s="10"/>
    </row>
    <row r="5" spans="1:10">
      <c r="A5" s="17">
        <v>784299</v>
      </c>
      <c r="B5" s="17" t="s">
        <v>78</v>
      </c>
      <c r="C5" s="17" t="s">
        <v>80</v>
      </c>
      <c r="D5" s="19">
        <v>59</v>
      </c>
      <c r="E5" s="20">
        <v>2591</v>
      </c>
      <c r="F5" s="23" t="s">
        <v>82</v>
      </c>
      <c r="G5" s="17" t="s">
        <v>83</v>
      </c>
      <c r="H5" s="17" t="s">
        <v>84</v>
      </c>
      <c r="I5" s="17" t="s">
        <v>85</v>
      </c>
      <c r="J5" s="10"/>
    </row>
    <row r="6" spans="1:10">
      <c r="A6" s="17">
        <v>746897</v>
      </c>
      <c r="B6" s="17" t="s">
        <v>86</v>
      </c>
      <c r="C6" s="17" t="s">
        <v>66</v>
      </c>
      <c r="D6" s="19">
        <v>124</v>
      </c>
      <c r="E6" s="20">
        <v>4652</v>
      </c>
      <c r="F6" s="16" t="s">
        <v>168</v>
      </c>
      <c r="G6" s="21">
        <v>160210510004919</v>
      </c>
      <c r="H6" s="16" t="s">
        <v>169</v>
      </c>
      <c r="I6" s="16" t="s">
        <v>170</v>
      </c>
      <c r="J6" s="10"/>
    </row>
    <row r="7" spans="1:10">
      <c r="A7" s="17">
        <v>780996</v>
      </c>
      <c r="B7" s="17" t="s">
        <v>88</v>
      </c>
      <c r="C7" s="17" t="s">
        <v>89</v>
      </c>
      <c r="D7" s="19">
        <v>67</v>
      </c>
      <c r="E7" s="20">
        <v>885</v>
      </c>
      <c r="F7" s="17" t="s">
        <v>92</v>
      </c>
      <c r="G7" s="22" t="s">
        <v>93</v>
      </c>
      <c r="H7" s="17" t="s">
        <v>94</v>
      </c>
      <c r="I7" s="17" t="s">
        <v>95</v>
      </c>
      <c r="J7" s="10"/>
    </row>
    <row r="8" spans="1:10">
      <c r="A8" s="17">
        <v>784779</v>
      </c>
      <c r="B8" s="17" t="s">
        <v>96</v>
      </c>
      <c r="C8" s="17" t="s">
        <v>66</v>
      </c>
      <c r="D8" s="19">
        <v>7</v>
      </c>
      <c r="E8" s="20">
        <v>-31</v>
      </c>
      <c r="F8" s="17" t="e">
        <v>#N/A</v>
      </c>
      <c r="G8" s="22" t="e">
        <v>#N/A</v>
      </c>
      <c r="H8" s="17" t="e">
        <v>#N/A</v>
      </c>
      <c r="I8" s="17" t="e">
        <v>#N/A</v>
      </c>
      <c r="J8" s="10" t="s">
        <v>202</v>
      </c>
    </row>
    <row r="9" spans="1:10">
      <c r="A9" s="17">
        <v>784832</v>
      </c>
      <c r="B9" s="17" t="s">
        <v>102</v>
      </c>
      <c r="C9" s="17" t="s">
        <v>66</v>
      </c>
      <c r="D9" s="19">
        <v>30</v>
      </c>
      <c r="E9" s="20">
        <v>832</v>
      </c>
      <c r="F9" s="23" t="s">
        <v>103</v>
      </c>
      <c r="G9" s="22" t="s">
        <v>104</v>
      </c>
      <c r="H9" s="17" t="s">
        <v>105</v>
      </c>
      <c r="I9" s="17" t="s">
        <v>106</v>
      </c>
      <c r="J9" s="10"/>
    </row>
    <row r="10" spans="1:10">
      <c r="A10" s="17">
        <v>744645</v>
      </c>
      <c r="B10" s="17" t="s">
        <v>107</v>
      </c>
      <c r="C10" s="17" t="s">
        <v>66</v>
      </c>
      <c r="D10" s="19">
        <v>122</v>
      </c>
      <c r="E10" s="20">
        <v>4134</v>
      </c>
      <c r="F10" s="16" t="s">
        <v>171</v>
      </c>
      <c r="G10" s="21">
        <v>32475540595</v>
      </c>
      <c r="H10" s="16" t="s">
        <v>172</v>
      </c>
      <c r="I10" s="16" t="s">
        <v>173</v>
      </c>
      <c r="J10" s="10"/>
    </row>
    <row r="11" spans="1:10">
      <c r="A11" s="17">
        <v>756144</v>
      </c>
      <c r="B11" s="17" t="s">
        <v>108</v>
      </c>
      <c r="C11" s="17" t="s">
        <v>109</v>
      </c>
      <c r="D11" s="19">
        <v>202</v>
      </c>
      <c r="E11" s="20">
        <v>8521</v>
      </c>
      <c r="F11" s="16" t="s">
        <v>174</v>
      </c>
      <c r="G11" s="21">
        <v>31194991598</v>
      </c>
      <c r="H11" s="16" t="s">
        <v>175</v>
      </c>
      <c r="I11" s="16" t="s">
        <v>176</v>
      </c>
      <c r="J11" s="10"/>
    </row>
    <row r="12" spans="1:10">
      <c r="A12" s="17">
        <v>756418</v>
      </c>
      <c r="B12" s="17" t="s">
        <v>111</v>
      </c>
      <c r="C12" s="17" t="s">
        <v>112</v>
      </c>
      <c r="D12" s="19">
        <v>68</v>
      </c>
      <c r="E12" s="20">
        <v>1008</v>
      </c>
      <c r="F12" s="16" t="s">
        <v>198</v>
      </c>
      <c r="G12" s="21">
        <v>188380896935</v>
      </c>
      <c r="H12" s="16" t="s">
        <v>199</v>
      </c>
      <c r="I12" s="16" t="s">
        <v>176</v>
      </c>
      <c r="J12" s="10"/>
    </row>
    <row r="13" spans="1:10">
      <c r="A13" s="17">
        <v>784269</v>
      </c>
      <c r="B13" s="17" t="s">
        <v>115</v>
      </c>
      <c r="C13" s="17" t="s">
        <v>116</v>
      </c>
      <c r="D13" s="19">
        <v>10</v>
      </c>
      <c r="E13" s="20">
        <v>140</v>
      </c>
      <c r="F13" s="17" t="e">
        <v>#N/A</v>
      </c>
      <c r="G13" s="22" t="e">
        <v>#N/A</v>
      </c>
      <c r="H13" s="17" t="e">
        <v>#N/A</v>
      </c>
      <c r="I13" s="17" t="e">
        <v>#N/A</v>
      </c>
      <c r="J13" s="10" t="s">
        <v>202</v>
      </c>
    </row>
    <row r="14" spans="1:10">
      <c r="A14" s="24">
        <v>763173</v>
      </c>
      <c r="B14" s="24" t="s">
        <v>122</v>
      </c>
      <c r="C14" s="24" t="s">
        <v>123</v>
      </c>
      <c r="D14" s="25">
        <v>265</v>
      </c>
      <c r="E14" s="26">
        <v>17494</v>
      </c>
      <c r="F14" s="27" t="s">
        <v>177</v>
      </c>
      <c r="G14" s="28">
        <v>548865079</v>
      </c>
      <c r="H14" s="27" t="s">
        <v>178</v>
      </c>
      <c r="I14" s="27" t="s">
        <v>176</v>
      </c>
      <c r="J14" s="10" t="s">
        <v>202</v>
      </c>
    </row>
    <row r="15" spans="1:10">
      <c r="A15" s="17">
        <v>738700</v>
      </c>
      <c r="B15" s="17" t="s">
        <v>127</v>
      </c>
      <c r="C15" s="17" t="s">
        <v>75</v>
      </c>
      <c r="D15" s="19">
        <v>99</v>
      </c>
      <c r="E15" s="20">
        <v>5030</v>
      </c>
      <c r="F15" s="16" t="s">
        <v>179</v>
      </c>
      <c r="G15" s="21">
        <v>68035888954</v>
      </c>
      <c r="H15" s="16" t="s">
        <v>180</v>
      </c>
      <c r="I15" s="16" t="s">
        <v>176</v>
      </c>
      <c r="J15" s="10"/>
    </row>
    <row r="16" spans="1:10">
      <c r="A16" s="17">
        <v>754658</v>
      </c>
      <c r="B16" s="17" t="s">
        <v>129</v>
      </c>
      <c r="C16" s="17" t="s">
        <v>123</v>
      </c>
      <c r="D16" s="19">
        <v>13</v>
      </c>
      <c r="E16" s="20">
        <v>-24</v>
      </c>
      <c r="F16" s="16" t="s">
        <v>181</v>
      </c>
      <c r="G16" s="21">
        <v>9348568340</v>
      </c>
      <c r="H16" s="16" t="s">
        <v>182</v>
      </c>
      <c r="I16" s="16" t="s">
        <v>183</v>
      </c>
      <c r="J16" s="10"/>
    </row>
    <row r="17" spans="1:10">
      <c r="A17" s="17">
        <v>735193</v>
      </c>
      <c r="B17" s="17" t="s">
        <v>130</v>
      </c>
      <c r="C17" s="17" t="s">
        <v>66</v>
      </c>
      <c r="D17" s="19">
        <v>147</v>
      </c>
      <c r="E17" s="20">
        <v>4895</v>
      </c>
      <c r="F17" s="16" t="s">
        <v>184</v>
      </c>
      <c r="G17" s="21">
        <v>3994200001976</v>
      </c>
      <c r="H17" s="16" t="s">
        <v>185</v>
      </c>
      <c r="I17" s="16" t="s">
        <v>186</v>
      </c>
      <c r="J17" s="10"/>
    </row>
    <row r="18" spans="1:10">
      <c r="A18" s="17">
        <v>739199</v>
      </c>
      <c r="B18" s="17" t="s">
        <v>131</v>
      </c>
      <c r="C18" s="17" t="s">
        <v>132</v>
      </c>
      <c r="D18" s="19">
        <v>89</v>
      </c>
      <c r="E18" s="20">
        <v>2488</v>
      </c>
      <c r="F18" s="16" t="s">
        <v>187</v>
      </c>
      <c r="G18" s="21">
        <v>15801564800</v>
      </c>
      <c r="H18" s="16" t="s">
        <v>188</v>
      </c>
      <c r="I18" s="16" t="s">
        <v>189</v>
      </c>
      <c r="J18" s="10"/>
    </row>
    <row r="19" spans="1:10">
      <c r="A19" s="17">
        <v>784862</v>
      </c>
      <c r="B19" s="17" t="s">
        <v>134</v>
      </c>
      <c r="C19" s="17" t="s">
        <v>66</v>
      </c>
      <c r="D19" s="19">
        <v>9</v>
      </c>
      <c r="E19" s="20">
        <v>50</v>
      </c>
      <c r="F19" s="17" t="e">
        <v>#N/A</v>
      </c>
      <c r="G19" s="22" t="e">
        <v>#N/A</v>
      </c>
      <c r="H19" s="17" t="e">
        <v>#N/A</v>
      </c>
      <c r="I19" s="17" t="e">
        <v>#N/A</v>
      </c>
      <c r="J19" s="10" t="s">
        <v>202</v>
      </c>
    </row>
    <row r="20" spans="1:10">
      <c r="A20" s="17">
        <v>754583</v>
      </c>
      <c r="B20" s="17" t="s">
        <v>139</v>
      </c>
      <c r="C20" s="17" t="s">
        <v>66</v>
      </c>
      <c r="D20" s="19">
        <v>143</v>
      </c>
      <c r="E20" s="20">
        <v>5294</v>
      </c>
      <c r="F20" s="16" t="s">
        <v>190</v>
      </c>
      <c r="G20" s="21">
        <v>7446480861</v>
      </c>
      <c r="H20" s="16" t="s">
        <v>191</v>
      </c>
      <c r="I20" s="16" t="s">
        <v>192</v>
      </c>
      <c r="J20" s="10"/>
    </row>
    <row r="21" spans="1:10">
      <c r="A21" s="17">
        <v>741275</v>
      </c>
      <c r="B21" s="17" t="s">
        <v>140</v>
      </c>
      <c r="C21" s="17" t="s">
        <v>141</v>
      </c>
      <c r="D21" s="19">
        <v>141</v>
      </c>
      <c r="E21" s="20">
        <v>9157</v>
      </c>
      <c r="F21" s="16" t="s">
        <v>193</v>
      </c>
      <c r="G21" s="21">
        <v>1776001700036310</v>
      </c>
      <c r="H21" s="16" t="s">
        <v>200</v>
      </c>
      <c r="I21" s="16" t="s">
        <v>194</v>
      </c>
      <c r="J21" s="10"/>
    </row>
    <row r="22" spans="1:10">
      <c r="A22" s="17">
        <v>757911</v>
      </c>
      <c r="B22" s="17" t="s">
        <v>145</v>
      </c>
      <c r="C22" s="17" t="s">
        <v>123</v>
      </c>
      <c r="D22" s="19">
        <v>219</v>
      </c>
      <c r="E22" s="20">
        <v>9007</v>
      </c>
      <c r="F22" s="16" t="s">
        <v>195</v>
      </c>
      <c r="G22" s="21">
        <v>921010042861859</v>
      </c>
      <c r="H22" s="16" t="s">
        <v>196</v>
      </c>
      <c r="I22" s="16" t="s">
        <v>176</v>
      </c>
      <c r="J22" s="10"/>
    </row>
    <row r="23" spans="1:10">
      <c r="A23" s="17">
        <v>782412</v>
      </c>
      <c r="B23" s="17" t="s">
        <v>146</v>
      </c>
      <c r="C23" s="17" t="s">
        <v>123</v>
      </c>
      <c r="D23" s="19">
        <v>21</v>
      </c>
      <c r="E23" s="20">
        <v>-10</v>
      </c>
      <c r="F23" s="17" t="e">
        <v>#N/A</v>
      </c>
      <c r="G23" s="22" t="e">
        <v>#N/A</v>
      </c>
      <c r="H23" s="17" t="e">
        <v>#N/A</v>
      </c>
      <c r="I23" s="17" t="e">
        <v>#N/A</v>
      </c>
      <c r="J23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Sheet1</vt:lpstr>
      <vt:lpstr>Sheet2</vt:lpstr>
      <vt:lpstr>Payment_File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akshay.pagare@bigbasket.com</dc:creator>
  <cp:lastModifiedBy>HP</cp:lastModifiedBy>
  <dcterms:created xsi:type="dcterms:W3CDTF">2025-05-08T11:38:27Z</dcterms:created>
  <dcterms:modified xsi:type="dcterms:W3CDTF">2025-05-09T08:16:13Z</dcterms:modified>
</cp:coreProperties>
</file>